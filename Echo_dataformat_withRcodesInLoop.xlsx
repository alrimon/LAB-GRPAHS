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oan\Pictures\"/>
    </mc:Choice>
  </mc:AlternateContent>
  <xr:revisionPtr revIDLastSave="0" documentId="13_ncr:1_{F65F9583-B1DE-4131-8270-4E9EFECB31BE}" xr6:coauthVersionLast="47" xr6:coauthVersionMax="47" xr10:uidLastSave="{00000000-0000-0000-0000-000000000000}"/>
  <bookViews>
    <workbookView xWindow="28680" yWindow="-120" windowWidth="24240" windowHeight="13020" activeTab="3" xr2:uid="{03175EF5-722D-4152-904D-6C36F6D2BDC6}"/>
  </bookViews>
  <sheets>
    <sheet name="Sheet1" sheetId="1" r:id="rId1"/>
    <sheet name="Processed for raw" sheetId="8" r:id="rId2"/>
    <sheet name="Units" sheetId="9" r:id="rId3"/>
    <sheet name="Code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1" i="7" l="1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B41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B31" i="7"/>
  <c r="B44" i="7"/>
  <c r="B30" i="7"/>
  <c r="B6" i="7"/>
  <c r="AG32" i="7"/>
  <c r="AH32" i="7"/>
  <c r="AI32" i="7"/>
  <c r="AJ32" i="7"/>
  <c r="AK32" i="7"/>
  <c r="AL32" i="7"/>
  <c r="AG33" i="7"/>
  <c r="AH33" i="7"/>
  <c r="AI33" i="7"/>
  <c r="AJ33" i="7"/>
  <c r="AK33" i="7"/>
  <c r="AL33" i="7"/>
  <c r="AG34" i="7"/>
  <c r="AH34" i="7"/>
  <c r="AI34" i="7"/>
  <c r="AJ34" i="7"/>
  <c r="AK34" i="7"/>
  <c r="AL34" i="7"/>
  <c r="AG35" i="7"/>
  <c r="AH35" i="7"/>
  <c r="AI35" i="7"/>
  <c r="AJ35" i="7"/>
  <c r="AK35" i="7"/>
  <c r="AL35" i="7"/>
  <c r="AG36" i="7"/>
  <c r="AH36" i="7"/>
  <c r="AI36" i="7"/>
  <c r="AJ36" i="7"/>
  <c r="AK36" i="7"/>
  <c r="AL36" i="7"/>
  <c r="AG37" i="7"/>
  <c r="AH37" i="7"/>
  <c r="AI37" i="7"/>
  <c r="AJ37" i="7"/>
  <c r="AK37" i="7"/>
  <c r="AL37" i="7"/>
  <c r="AG38" i="7"/>
  <c r="AH38" i="7"/>
  <c r="AI38" i="7"/>
  <c r="AJ38" i="7"/>
  <c r="AK38" i="7"/>
  <c r="AL38" i="7"/>
  <c r="AG39" i="7"/>
  <c r="AH39" i="7"/>
  <c r="AI39" i="7"/>
  <c r="AJ39" i="7"/>
  <c r="AK39" i="7"/>
  <c r="AL39" i="7"/>
  <c r="AG40" i="7"/>
  <c r="AH40" i="7"/>
  <c r="AI40" i="7"/>
  <c r="AJ40" i="7"/>
  <c r="AK40" i="7"/>
  <c r="AL40" i="7"/>
  <c r="AG42" i="7"/>
  <c r="AH42" i="7"/>
  <c r="AI42" i="7"/>
  <c r="AJ42" i="7"/>
  <c r="AK42" i="7"/>
  <c r="AL42" i="7"/>
  <c r="AG43" i="7"/>
  <c r="AH43" i="7"/>
  <c r="AI43" i="7"/>
  <c r="AJ43" i="7"/>
  <c r="AK43" i="7"/>
  <c r="AL43" i="7"/>
  <c r="AE32" i="7"/>
  <c r="AF32" i="7"/>
  <c r="AE33" i="7"/>
  <c r="AF33" i="7"/>
  <c r="AE34" i="7"/>
  <c r="AF34" i="7"/>
  <c r="AE35" i="7"/>
  <c r="AF35" i="7"/>
  <c r="AE36" i="7"/>
  <c r="AF36" i="7"/>
  <c r="AE37" i="7"/>
  <c r="AF37" i="7"/>
  <c r="AE38" i="7"/>
  <c r="AF38" i="7"/>
  <c r="AE39" i="7"/>
  <c r="AF39" i="7"/>
  <c r="AE40" i="7"/>
  <c r="AF40" i="7"/>
  <c r="AE42" i="7"/>
  <c r="AF42" i="7"/>
  <c r="AE43" i="7"/>
  <c r="AF43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B43" i="7"/>
  <c r="B42" i="7"/>
  <c r="B40" i="7"/>
  <c r="B39" i="7"/>
  <c r="B38" i="7"/>
  <c r="B37" i="7"/>
  <c r="B36" i="7"/>
  <c r="B35" i="7"/>
  <c r="B34" i="7"/>
  <c r="B33" i="7"/>
  <c r="B32" i="7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38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3" i="1"/>
  <c r="K46" i="7" l="1"/>
  <c r="AK46" i="7"/>
  <c r="AF46" i="7"/>
  <c r="AE46" i="7"/>
  <c r="AH46" i="7"/>
  <c r="AJ46" i="7"/>
  <c r="U46" i="7"/>
  <c r="T46" i="7"/>
  <c r="AC46" i="7"/>
  <c r="Q46" i="7"/>
  <c r="AB46" i="7"/>
  <c r="N46" i="7"/>
  <c r="AL46" i="7"/>
  <c r="D46" i="7"/>
  <c r="AA46" i="7"/>
  <c r="C46" i="7"/>
  <c r="X46" i="7"/>
  <c r="W46" i="7"/>
  <c r="AI46" i="7"/>
  <c r="J46" i="7"/>
  <c r="V46" i="7"/>
  <c r="I46" i="7"/>
  <c r="Y46" i="7"/>
  <c r="H46" i="7"/>
  <c r="E46" i="7"/>
  <c r="L46" i="7"/>
  <c r="Z46" i="7"/>
  <c r="AG46" i="7"/>
  <c r="M46" i="7"/>
  <c r="G46" i="7"/>
  <c r="AD46" i="7"/>
  <c r="R46" i="7"/>
  <c r="F46" i="7"/>
  <c r="S46" i="7"/>
  <c r="O46" i="7"/>
  <c r="P46" i="7"/>
  <c r="B46" i="7"/>
  <c r="B48" i="7" l="1"/>
</calcChain>
</file>

<file path=xl/sharedStrings.xml><?xml version="1.0" encoding="utf-8"?>
<sst xmlns="http://schemas.openxmlformats.org/spreadsheetml/2006/main" count="657" uniqueCount="221">
  <si>
    <t>Sham</t>
  </si>
  <si>
    <t>Simp FAC</t>
  </si>
  <si>
    <t>%</t>
  </si>
  <si>
    <t>Simp FS</t>
  </si>
  <si>
    <t>LA</t>
  </si>
  <si>
    <t>mm</t>
  </si>
  <si>
    <t>IVS;d</t>
  </si>
  <si>
    <t>M-Mode</t>
  </si>
  <si>
    <t>Depth</t>
  </si>
  <si>
    <t>IVS;s</t>
  </si>
  <si>
    <t>LV Trace</t>
  </si>
  <si>
    <t>Heart Rate</t>
  </si>
  <si>
    <t>BPM</t>
  </si>
  <si>
    <t>Diameter;s</t>
  </si>
  <si>
    <t>Diameter;d</t>
  </si>
  <si>
    <t>Volume;s</t>
  </si>
  <si>
    <t>uL</t>
  </si>
  <si>
    <t>Volume;d</t>
  </si>
  <si>
    <t>Stroke Volume</t>
  </si>
  <si>
    <t>Ejection Fraction</t>
  </si>
  <si>
    <t>Fractional Shortening</t>
  </si>
  <si>
    <t>Cardiac Output</t>
  </si>
  <si>
    <t>mL/min</t>
  </si>
  <si>
    <t>LVID;d</t>
  </si>
  <si>
    <t>LVID;s</t>
  </si>
  <si>
    <t>LVPW;d</t>
  </si>
  <si>
    <t>LVPW;s</t>
  </si>
  <si>
    <t>CO (LV Trace)</t>
  </si>
  <si>
    <t>Diameter;d (LV Trace)</t>
  </si>
  <si>
    <t>Diameter;s (LV Trace)</t>
  </si>
  <si>
    <t>EF</t>
  </si>
  <si>
    <t>EF (LV Trace)</t>
  </si>
  <si>
    <t>FS</t>
  </si>
  <si>
    <t>FS (LV Trace)</t>
  </si>
  <si>
    <t>LV Mass</t>
  </si>
  <si>
    <t>LV Mass (Corrected)</t>
  </si>
  <si>
    <t>LV Vol;d</t>
  </si>
  <si>
    <t>LV Vol;s</t>
  </si>
  <si>
    <t>SV (LV Trace)</t>
  </si>
  <si>
    <t>V;d (LV Trace)</t>
  </si>
  <si>
    <t>V;s (LV Trace)</t>
  </si>
  <si>
    <t>mg</t>
  </si>
  <si>
    <t>A'</t>
  </si>
  <si>
    <t>E'</t>
  </si>
  <si>
    <t>IVCT</t>
  </si>
  <si>
    <t>IVRT</t>
  </si>
  <si>
    <t>MV A</t>
  </si>
  <si>
    <t>MV Decel</t>
  </si>
  <si>
    <t>MV E</t>
  </si>
  <si>
    <t>PW Tissue Doppler Mode</t>
  </si>
  <si>
    <t>Velocity</t>
  </si>
  <si>
    <t>mm/s</t>
  </si>
  <si>
    <t>PW Doppler Mode</t>
  </si>
  <si>
    <t>Time</t>
  </si>
  <si>
    <t>ms</t>
  </si>
  <si>
    <t>Acceleration</t>
  </si>
  <si>
    <t>mm/s2</t>
  </si>
  <si>
    <t>MV Area (simplified)</t>
  </si>
  <si>
    <t>MV PHT (simplified)</t>
  </si>
  <si>
    <t>MI 3d</t>
  </si>
  <si>
    <t>A' by E'</t>
  </si>
  <si>
    <t>E' by A'</t>
  </si>
  <si>
    <t>MV E by A</t>
  </si>
  <si>
    <t>MV E by E'</t>
  </si>
  <si>
    <t>A' (mm/s)</t>
  </si>
  <si>
    <t>E' (mm/s)</t>
  </si>
  <si>
    <t>IVCT (ms)</t>
  </si>
  <si>
    <t>IVRT (ms)</t>
  </si>
  <si>
    <t>MV A (mm/s)</t>
  </si>
  <si>
    <t>MV Decel (mm/s2)</t>
  </si>
  <si>
    <t>MV Decel (ms)</t>
  </si>
  <si>
    <t>MV E (mm/s)</t>
  </si>
  <si>
    <t>Simp FAC (%)</t>
  </si>
  <si>
    <t>Simp FS (%)</t>
  </si>
  <si>
    <t>LA (mm)</t>
  </si>
  <si>
    <t>CO (LV Trace) (mL/min)</t>
  </si>
  <si>
    <t>Diameter;d (LV Trace) (mm)</t>
  </si>
  <si>
    <t>Diameter;s (LV Trace) (mm)</t>
  </si>
  <si>
    <t>EF (%)</t>
  </si>
  <si>
    <t>EF (LV Trace) (%)</t>
  </si>
  <si>
    <t>FS (%)</t>
  </si>
  <si>
    <t>FS (LV Trace) (%)</t>
  </si>
  <si>
    <t>LV Mass (mg)</t>
  </si>
  <si>
    <t>LV Mass (Corrected) (mg)</t>
  </si>
  <si>
    <t>LV Vol;d (uL)</t>
  </si>
  <si>
    <t>LV Vol;s (uL)</t>
  </si>
  <si>
    <t>SV (LV Trace) (uL)</t>
  </si>
  <si>
    <t>V;d (LV Trace) (uL)</t>
  </si>
  <si>
    <t>V;s (LV Trace) (uL)</t>
  </si>
  <si>
    <t>Model</t>
  </si>
  <si>
    <t>Genotype</t>
  </si>
  <si>
    <t>Mice</t>
  </si>
  <si>
    <t>MI 7d</t>
  </si>
  <si>
    <t>Mer</t>
  </si>
  <si>
    <t>Genotype: TACEf/fCdh5mer</t>
  </si>
  <si>
    <t>MI 4w</t>
  </si>
  <si>
    <t>MI 1w</t>
  </si>
  <si>
    <t>EDV</t>
  </si>
  <si>
    <t>ESV</t>
  </si>
  <si>
    <t>SV</t>
  </si>
  <si>
    <t>CO</t>
  </si>
  <si>
    <t>GLS</t>
  </si>
  <si>
    <t>EDLVM</t>
  </si>
  <si>
    <t>ESLVM</t>
  </si>
  <si>
    <t>Heart Rate (bpm)</t>
  </si>
  <si>
    <t>A(s)</t>
  </si>
  <si>
    <t>A(d)</t>
  </si>
  <si>
    <t>GCS</t>
  </si>
  <si>
    <t>FAC</t>
  </si>
  <si>
    <t>SimpAreaMid;d</t>
  </si>
  <si>
    <t>SimpAreaMid;s</t>
  </si>
  <si>
    <t>SimpLength;d</t>
  </si>
  <si>
    <t>SimpLength;s</t>
  </si>
  <si>
    <t>TACEff</t>
  </si>
  <si>
    <t>TACEffCdh5Mer</t>
  </si>
  <si>
    <t>WT</t>
  </si>
  <si>
    <t>Cdh5Mer</t>
  </si>
  <si>
    <t>MI 2w</t>
  </si>
  <si>
    <t>SIMPFAC</t>
  </si>
  <si>
    <t>SIMPFS</t>
  </si>
  <si>
    <t>LA_MM</t>
  </si>
  <si>
    <t>CO_LVTRACE</t>
  </si>
  <si>
    <t>DIAMETER_D_LV_TRACE_MM</t>
  </si>
  <si>
    <t>DIAMETER_S_LV_TRACE_MM</t>
  </si>
  <si>
    <t>EF_LV_TRACE</t>
  </si>
  <si>
    <t>FS_LV_TRACE</t>
  </si>
  <si>
    <t>LV_MASS_MG</t>
  </si>
  <si>
    <t>LV_MASS_CORRECTED_MG</t>
  </si>
  <si>
    <t>LV_VOL_D_UL</t>
  </si>
  <si>
    <t>LV_VOL_S_UL</t>
  </si>
  <si>
    <t>SV_LV_TRACE_UL</t>
  </si>
  <si>
    <t>V_D_LV_TRACE_UL</t>
  </si>
  <si>
    <t>V_S_LV_TRACE_UL</t>
  </si>
  <si>
    <t>A_PRIME_MM_BY_S</t>
  </si>
  <si>
    <t>E_PRIME_MM_BY_S</t>
  </si>
  <si>
    <t>IVCT_MS</t>
  </si>
  <si>
    <t>IVRT_MS</t>
  </si>
  <si>
    <t>MVA_MM_BY_S</t>
  </si>
  <si>
    <t>MVDECEL_MM_BY_S2</t>
  </si>
  <si>
    <t>MVDECEL_MS</t>
  </si>
  <si>
    <t>MVE_MM_BY_S</t>
  </si>
  <si>
    <t>A_PRIME_BY_E_PRIME</t>
  </si>
  <si>
    <t>E_PRIME_BY_A_PRIME</t>
  </si>
  <si>
    <t>MVAREA_SIMPLIFIED</t>
  </si>
  <si>
    <t>MV_E_BY_A</t>
  </si>
  <si>
    <t>MV_E_BY_E_PRIME</t>
  </si>
  <si>
    <t>MV_PHT_SIMPLIFIED</t>
  </si>
  <si>
    <t>LV Trace_Heart Rate (BPM)</t>
  </si>
  <si>
    <t>LV Trace_Diameter;s (mm)</t>
  </si>
  <si>
    <t>LV Trace_Diameter;d (mm)</t>
  </si>
  <si>
    <t>LV Trace_Volume;s (uL)</t>
  </si>
  <si>
    <t>LV Trace_Volume;d (uL)</t>
  </si>
  <si>
    <t>LV Trace_Stroke Volume (uL)</t>
  </si>
  <si>
    <t>LV Trace_Ejection Fraction (%)</t>
  </si>
  <si>
    <t>LV Trace_Fractional Shortening (%)</t>
  </si>
  <si>
    <t>LV Trace_Cardiac Output (mL/min)</t>
  </si>
  <si>
    <t>IVSd</t>
  </si>
  <si>
    <t>IVSs</t>
  </si>
  <si>
    <t>LVIDd</t>
  </si>
  <si>
    <t>LVIDs</t>
  </si>
  <si>
    <t>LVPWd</t>
  </si>
  <si>
    <t>LVPWs</t>
  </si>
  <si>
    <t>df.summary$se &lt;- df.summary$sd/sqrt(df.summary$n)</t>
  </si>
  <si>
    <t xml:space="preserve">  geom_point(shape = 16,  size = 1.5, stroke = 0.5)+</t>
  </si>
  <si>
    <t xml:space="preserve">  theme(axis.text.x = element_text(angle = 90))</t>
  </si>
  <si>
    <t>df.summary = Summarize(</t>
  </si>
  <si>
    <t>PlotEcho&lt;- ggplot(data=Graph_data, aes(x= factor(Genotype, level = c('WT','Cdh5Mer','TACEff','TACEffCdh5Mer')), y=</t>
  </si>
  <si>
    <t>, color = Genotype, fill = Genotype)) +</t>
  </si>
  <si>
    <t>Code line</t>
  </si>
  <si>
    <t xml:space="preserve"> ~ Model + Genotype, data=Graph_data)</t>
  </si>
  <si>
    <t>3.PlotLA_mm</t>
  </si>
  <si>
    <t>```{r}</t>
  </si>
  <si>
    <t>```</t>
  </si>
  <si>
    <t xml:space="preserve">  facet_wrap(~factor(Model,levels=c('Sham','MI 3d','MI 1w','MI 2w','MI 4w')),nrow=1)+</t>
  </si>
  <si>
    <t xml:space="preserve">  #stat_compare_means(method = 'anova', label.y.npc = 'top',label.x.npc ='middle',aes(label = ..p.signif..))+</t>
  </si>
  <si>
    <t xml:space="preserve">  ylab('</t>
  </si>
  <si>
    <t>)+ xlab('Genotype')+</t>
  </si>
  <si>
    <t>ggsave(PlotEcho,path = 'Figures',file='</t>
  </si>
  <si>
    <t>.tiff', width = 7.5, height = 5)</t>
  </si>
  <si>
    <t>#</t>
  </si>
  <si>
    <t xml:space="preserve">  geom_errorbar(aes(x=Genotype,y=mean,ymin = mean-se, ymax = mean+se),data = df.summary, width=0.2, color='Black')+</t>
  </si>
  <si>
    <t xml:space="preserve">  geom_point(aes(x=Genotype,y=mean),data = df.summary,shape = 5,  size = 3, stroke = 0.5, color='Black')+</t>
  </si>
  <si>
    <t>LV Vol.d (uL)</t>
  </si>
  <si>
    <t>LV Vol.s (uL)</t>
  </si>
  <si>
    <t>V.d (LV Trace) (uL)</t>
  </si>
  <si>
    <t>V.s (LV Trace) (uL)</t>
  </si>
  <si>
    <t>Diameter.d (LV Trace) (mm)</t>
  </si>
  <si>
    <t>Diameter.s (LV Trace) (mm)</t>
  </si>
  <si>
    <t xml:space="preserve">  expand_limits(y = 0)+ geom_text_repel(aes(label=Mice),hjust=2, vjust=0,size = 2.5)+</t>
  </si>
  <si>
    <t>IVS.d (mm)</t>
  </si>
  <si>
    <t>IVS.s (mm)</t>
  </si>
  <si>
    <t>LVID.d (mm)</t>
  </si>
  <si>
    <t>LVID.s (mm)</t>
  </si>
  <si>
    <t>LVPW.d (mm)</t>
  </si>
  <si>
    <t>LVPW.s (mm)</t>
  </si>
  <si>
    <t>IVS.d_Depth (mm)</t>
  </si>
  <si>
    <t>IVS.s_Depth (mm)</t>
  </si>
  <si>
    <t>LVID.d_Depth (mm)</t>
  </si>
  <si>
    <t>LVID.s_Depth (mm)</t>
  </si>
  <si>
    <t>LVPW.d_Depth (mm)</t>
  </si>
  <si>
    <t>LVPW.s_Depth (mm)</t>
  </si>
  <si>
    <t>All chunk</t>
  </si>
  <si>
    <t>Combine</t>
  </si>
  <si>
    <t>The actual code look:</t>
  </si>
  <si>
    <t>df.summary = Summarize(LA_MM ~ Model + Genotype, data=Graph_data)</t>
  </si>
  <si>
    <t>PlotEcho&lt;- ggplot(data=Graph_data, aes(x= factor(Genotype, level = c('WT','Cdh5Mer','TACEff','TACEffCdh5Mer')), y=LA_MM, color = Genotype, fill = Genotype)) +</t>
  </si>
  <si>
    <t xml:space="preserve">  ylab('LA (mm)')+ xlab('Genotype')+</t>
  </si>
  <si>
    <t>ggsave(PlotEcho,path = 'Figures',file='1.LA_MM.tiff', width = 7.5, height = 5)</t>
  </si>
  <si>
    <t>v2 (Variable 2)</t>
  </si>
  <si>
    <t>v1 (Variable 1)</t>
  </si>
  <si>
    <t>v3 (Variable 3)</t>
  </si>
  <si>
    <t>3.2 (v2)</t>
  </si>
  <si>
    <t>5.2 (v2)</t>
  </si>
  <si>
    <t>14.2 (v1+v2)</t>
  </si>
  <si>
    <t>12.2 (v3)</t>
  </si>
  <si>
    <t>Graph_data &lt;- read.csv("Echo_data_sample.csv")</t>
  </si>
  <si>
    <t>library(ggplot2)</t>
  </si>
  <si>
    <t>library(dplyr)</t>
  </si>
  <si>
    <t>library(FSA)</t>
  </si>
  <si>
    <t>library(ggpubr)</t>
  </si>
  <si>
    <t>library(ggrepel)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</si>
</sst>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4" applyNumberFormat="0" applyAlignment="0" applyProtection="0"/>
    <xf numFmtId="0" fontId="10" fillId="11" borderId="5" applyNumberFormat="0" applyAlignment="0" applyProtection="0"/>
    <xf numFmtId="0" fontId="11" fillId="11" borderId="4" applyNumberFormat="0" applyAlignment="0" applyProtection="0"/>
    <xf numFmtId="0" fontId="12" fillId="0" borderId="6" applyNumberFormat="0" applyFill="0" applyAlignment="0" applyProtection="0"/>
    <xf numFmtId="0" fontId="13" fillId="12" borderId="7" applyNumberFormat="0" applyAlignment="0" applyProtection="0"/>
    <xf numFmtId="0" fontId="14" fillId="0" borderId="0" applyNumberFormat="0" applyFill="0" applyBorder="0" applyAlignment="0" applyProtection="0"/>
    <xf numFmtId="0" fontId="1" fillId="13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7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left"/>
    </xf>
    <xf numFmtId="0" fontId="0" fillId="0" borderId="10" xfId="0" applyBorder="1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quotePrefix="1"/>
    <xf numFmtId="0" fontId="0" fillId="38" borderId="0" xfId="0" applyFill="1"/>
    <xf numFmtId="0" fontId="0" fillId="0" borderId="0" xfId="0" applyAlignment="1">
      <alignment horizontal="center"/>
    </xf>
    <xf numFmtId="0" fontId="0" fillId="38" borderId="0" xfId="0" applyFill="1" applyAlignment="1">
      <alignment horizontal="left"/>
    </xf>
    <xf numFmtId="0" fontId="14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BFF1-AB2E-405E-A784-089D758FE0E9}">
  <dimension ref="A1:BD93"/>
  <sheetViews>
    <sheetView workbookViewId="0">
      <selection activeCell="F40" sqref="F40"/>
    </sheetView>
  </sheetViews>
  <sheetFormatPr defaultRowHeight="15" x14ac:dyDescent="0.25"/>
  <cols>
    <col min="1" max="1" width="21.5703125" customWidth="1"/>
    <col min="4" max="6" width="9.140625" style="1"/>
    <col min="7" max="7" width="26.85546875" style="1" customWidth="1"/>
    <col min="8" max="10" width="9" bestFit="1" customWidth="1"/>
    <col min="11" max="11" width="5.85546875" bestFit="1" customWidth="1"/>
    <col min="12" max="14" width="9" bestFit="1" customWidth="1"/>
    <col min="15" max="15" width="5.85546875" bestFit="1" customWidth="1"/>
    <col min="16" max="17" width="9" bestFit="1" customWidth="1"/>
    <col min="18" max="18" width="6.28515625" bestFit="1" customWidth="1"/>
    <col min="19" max="20" width="9" bestFit="1" customWidth="1"/>
    <col min="21" max="21" width="6.28515625" bestFit="1" customWidth="1"/>
    <col min="22" max="22" width="6.85546875" bestFit="1" customWidth="1"/>
    <col min="23" max="24" width="15" bestFit="1" customWidth="1"/>
    <col min="25" max="25" width="6.85546875" bestFit="1" customWidth="1"/>
    <col min="26" max="28" width="15" bestFit="1" customWidth="1"/>
    <col min="29" max="29" width="6.85546875" bestFit="1" customWidth="1"/>
    <col min="30" max="30" width="15" bestFit="1" customWidth="1"/>
    <col min="31" max="32" width="6.85546875" bestFit="1" customWidth="1"/>
    <col min="33" max="34" width="15" bestFit="1" customWidth="1"/>
    <col min="35" max="36" width="6.85546875" bestFit="1" customWidth="1"/>
    <col min="37" max="37" width="15" bestFit="1" customWidth="1"/>
    <col min="38" max="38" width="5.85546875" bestFit="1" customWidth="1"/>
    <col min="39" max="40" width="6.85546875" bestFit="1" customWidth="1"/>
    <col min="41" max="42" width="15" bestFit="1" customWidth="1"/>
    <col min="43" max="44" width="6.85546875" bestFit="1" customWidth="1"/>
    <col min="45" max="46" width="15" bestFit="1" customWidth="1"/>
  </cols>
  <sheetData>
    <row r="1" spans="1:56" x14ac:dyDescent="0.25">
      <c r="A1" t="s">
        <v>94</v>
      </c>
      <c r="F1" t="s">
        <v>89</v>
      </c>
      <c r="G1" s="1" t="s">
        <v>89</v>
      </c>
      <c r="H1" s="9" t="s">
        <v>0</v>
      </c>
      <c r="I1" s="9" t="s">
        <v>0</v>
      </c>
      <c r="J1" s="9" t="s">
        <v>0</v>
      </c>
      <c r="K1" s="9" t="s">
        <v>0</v>
      </c>
      <c r="L1" s="9" t="s">
        <v>59</v>
      </c>
      <c r="M1" s="9" t="s">
        <v>59</v>
      </c>
      <c r="N1" s="9" t="s">
        <v>59</v>
      </c>
      <c r="O1" s="9" t="s">
        <v>59</v>
      </c>
      <c r="P1" s="9" t="s">
        <v>96</v>
      </c>
      <c r="Q1" s="9" t="s">
        <v>96</v>
      </c>
      <c r="R1" s="9" t="s">
        <v>96</v>
      </c>
      <c r="S1" s="9" t="s">
        <v>117</v>
      </c>
      <c r="T1" s="9" t="s">
        <v>117</v>
      </c>
      <c r="U1" s="9" t="s">
        <v>117</v>
      </c>
      <c r="V1" s="9" t="s">
        <v>0</v>
      </c>
      <c r="W1" s="9" t="s">
        <v>0</v>
      </c>
      <c r="X1" s="9" t="s">
        <v>0</v>
      </c>
      <c r="Y1" s="9" t="s">
        <v>59</v>
      </c>
      <c r="Z1" s="9" t="s">
        <v>59</v>
      </c>
      <c r="AA1" s="9" t="s">
        <v>59</v>
      </c>
      <c r="AB1" s="9" t="s">
        <v>96</v>
      </c>
      <c r="AC1" s="9" t="s">
        <v>96</v>
      </c>
      <c r="AD1" s="9" t="s">
        <v>96</v>
      </c>
      <c r="AE1" s="9" t="s">
        <v>0</v>
      </c>
      <c r="AF1" s="9" t="s">
        <v>0</v>
      </c>
      <c r="AG1" s="9" t="s">
        <v>0</v>
      </c>
      <c r="AH1" s="9" t="s">
        <v>0</v>
      </c>
      <c r="AI1" s="9" t="s">
        <v>59</v>
      </c>
      <c r="AJ1" s="9" t="s">
        <v>59</v>
      </c>
      <c r="AK1" s="9" t="s">
        <v>59</v>
      </c>
      <c r="AL1" s="9" t="s">
        <v>59</v>
      </c>
      <c r="AM1" s="9" t="s">
        <v>96</v>
      </c>
      <c r="AN1" s="9" t="s">
        <v>92</v>
      </c>
      <c r="AO1" s="9" t="s">
        <v>96</v>
      </c>
      <c r="AP1" s="9" t="s">
        <v>96</v>
      </c>
      <c r="AQ1" s="9" t="s">
        <v>95</v>
      </c>
      <c r="AR1" s="9" t="s">
        <v>95</v>
      </c>
      <c r="AS1" s="9" t="s">
        <v>95</v>
      </c>
      <c r="AT1" s="9" t="s">
        <v>95</v>
      </c>
    </row>
    <row r="2" spans="1:56" s="1" customFormat="1" x14ac:dyDescent="0.25">
      <c r="F2" t="s">
        <v>91</v>
      </c>
      <c r="G2" s="1" t="s">
        <v>91</v>
      </c>
      <c r="H2" s="9">
        <v>40</v>
      </c>
      <c r="I2" s="9">
        <v>41</v>
      </c>
      <c r="J2" s="9">
        <v>42</v>
      </c>
      <c r="K2" s="9">
        <v>43</v>
      </c>
      <c r="L2" s="9">
        <v>40</v>
      </c>
      <c r="M2" s="9">
        <v>41</v>
      </c>
      <c r="N2" s="9">
        <v>42</v>
      </c>
      <c r="O2" s="9">
        <v>43</v>
      </c>
      <c r="P2" s="9">
        <v>40</v>
      </c>
      <c r="Q2" s="9">
        <v>41</v>
      </c>
      <c r="R2" s="9">
        <v>43</v>
      </c>
      <c r="S2" s="9">
        <v>40</v>
      </c>
      <c r="T2" s="9">
        <v>41</v>
      </c>
      <c r="U2" s="9">
        <v>43</v>
      </c>
      <c r="V2" s="9">
        <v>114</v>
      </c>
      <c r="W2" s="9">
        <v>128</v>
      </c>
      <c r="X2" s="9">
        <v>126</v>
      </c>
      <c r="Y2" s="9">
        <v>114</v>
      </c>
      <c r="Z2" s="9">
        <v>128</v>
      </c>
      <c r="AA2" s="9">
        <v>126</v>
      </c>
      <c r="AB2" s="9">
        <v>126</v>
      </c>
      <c r="AC2" s="9">
        <v>114</v>
      </c>
      <c r="AD2" s="9">
        <v>128</v>
      </c>
      <c r="AE2" s="9">
        <v>172</v>
      </c>
      <c r="AF2" s="9">
        <v>171</v>
      </c>
      <c r="AG2" s="9">
        <v>169</v>
      </c>
      <c r="AH2" s="9">
        <v>170</v>
      </c>
      <c r="AI2" s="9">
        <v>172</v>
      </c>
      <c r="AJ2" s="9">
        <v>171</v>
      </c>
      <c r="AK2" s="9">
        <v>169</v>
      </c>
      <c r="AL2" s="9">
        <v>170</v>
      </c>
      <c r="AM2" s="9">
        <v>172</v>
      </c>
      <c r="AN2" s="9">
        <v>171</v>
      </c>
      <c r="AO2" s="9">
        <v>169</v>
      </c>
      <c r="AP2" s="9">
        <v>170</v>
      </c>
      <c r="AQ2" s="9">
        <v>172</v>
      </c>
      <c r="AR2" s="9">
        <v>171</v>
      </c>
      <c r="AS2" s="9">
        <v>169</v>
      </c>
      <c r="AT2" s="9">
        <v>170</v>
      </c>
      <c r="AU2"/>
      <c r="AV2"/>
      <c r="AW2"/>
      <c r="AX2"/>
      <c r="AY2"/>
      <c r="AZ2"/>
      <c r="BA2"/>
      <c r="BB2"/>
      <c r="BC2"/>
      <c r="BD2"/>
    </row>
    <row r="3" spans="1:56" s="1" customFormat="1" x14ac:dyDescent="0.25">
      <c r="F3" t="s">
        <v>90</v>
      </c>
      <c r="G3" s="1" t="s">
        <v>90</v>
      </c>
      <c r="H3" s="9" t="s">
        <v>116</v>
      </c>
      <c r="I3" s="9" t="s">
        <v>116</v>
      </c>
      <c r="J3" s="9" t="s">
        <v>116</v>
      </c>
      <c r="K3" s="9" t="s">
        <v>115</v>
      </c>
      <c r="L3" s="9" t="s">
        <v>116</v>
      </c>
      <c r="M3" s="9" t="s">
        <v>116</v>
      </c>
      <c r="N3" s="9" t="s">
        <v>116</v>
      </c>
      <c r="O3" s="9" t="s">
        <v>115</v>
      </c>
      <c r="P3" s="9" t="s">
        <v>116</v>
      </c>
      <c r="Q3" s="9" t="s">
        <v>116</v>
      </c>
      <c r="R3" s="9" t="s">
        <v>115</v>
      </c>
      <c r="S3" s="9" t="s">
        <v>116</v>
      </c>
      <c r="T3" s="9" t="s">
        <v>116</v>
      </c>
      <c r="U3" s="9" t="s">
        <v>115</v>
      </c>
      <c r="V3" s="9" t="s">
        <v>113</v>
      </c>
      <c r="W3" s="9" t="s">
        <v>114</v>
      </c>
      <c r="X3" s="9" t="s">
        <v>114</v>
      </c>
      <c r="Y3" s="9" t="s">
        <v>113</v>
      </c>
      <c r="Z3" s="9" t="s">
        <v>114</v>
      </c>
      <c r="AA3" s="9" t="s">
        <v>114</v>
      </c>
      <c r="AB3" s="9" t="s">
        <v>114</v>
      </c>
      <c r="AC3" s="9" t="s">
        <v>113</v>
      </c>
      <c r="AD3" s="9" t="s">
        <v>114</v>
      </c>
      <c r="AE3" s="9" t="s">
        <v>113</v>
      </c>
      <c r="AF3" s="9" t="s">
        <v>113</v>
      </c>
      <c r="AG3" s="9" t="s">
        <v>114</v>
      </c>
      <c r="AH3" s="9" t="s">
        <v>114</v>
      </c>
      <c r="AI3" s="9" t="s">
        <v>113</v>
      </c>
      <c r="AJ3" s="9" t="s">
        <v>113</v>
      </c>
      <c r="AK3" s="9" t="s">
        <v>114</v>
      </c>
      <c r="AL3" s="9" t="s">
        <v>93</v>
      </c>
      <c r="AM3" s="9" t="s">
        <v>113</v>
      </c>
      <c r="AN3" s="9" t="s">
        <v>113</v>
      </c>
      <c r="AO3" s="9" t="s">
        <v>114</v>
      </c>
      <c r="AP3" s="9" t="s">
        <v>114</v>
      </c>
      <c r="AQ3" s="9" t="s">
        <v>113</v>
      </c>
      <c r="AR3" s="9" t="s">
        <v>113</v>
      </c>
      <c r="AS3" s="9" t="s">
        <v>114</v>
      </c>
      <c r="AT3" s="9" t="s">
        <v>114</v>
      </c>
      <c r="AU3"/>
      <c r="AV3"/>
      <c r="AW3"/>
      <c r="AX3"/>
      <c r="AY3"/>
      <c r="AZ3"/>
      <c r="BA3"/>
      <c r="BB3"/>
      <c r="BC3"/>
      <c r="BD3"/>
    </row>
    <row r="4" spans="1:56" s="2" customFormat="1" x14ac:dyDescent="0.25">
      <c r="A4" s="2" t="s">
        <v>1</v>
      </c>
      <c r="D4" s="2" t="s">
        <v>2</v>
      </c>
      <c r="E4" s="2" t="str">
        <f t="shared" ref="E4:E36" si="0">CONCATENATE(A4," (",D4,")")</f>
        <v>Simp FAC (%)</v>
      </c>
      <c r="F4" t="s">
        <v>118</v>
      </c>
      <c r="G4" s="2" t="s">
        <v>72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/>
      <c r="AV4"/>
      <c r="AW4"/>
      <c r="AX4"/>
      <c r="AY4"/>
      <c r="AZ4"/>
      <c r="BA4"/>
      <c r="BB4"/>
      <c r="BC4"/>
      <c r="BD4"/>
    </row>
    <row r="5" spans="1:56" s="2" customFormat="1" x14ac:dyDescent="0.25">
      <c r="A5" s="2" t="s">
        <v>3</v>
      </c>
      <c r="D5" s="2" t="s">
        <v>2</v>
      </c>
      <c r="E5" s="2" t="str">
        <f t="shared" si="0"/>
        <v>Simp FS (%)</v>
      </c>
      <c r="F5" t="s">
        <v>119</v>
      </c>
      <c r="G5" s="2" t="s">
        <v>73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/>
      <c r="AV5"/>
      <c r="AW5"/>
      <c r="AX5"/>
      <c r="AY5"/>
      <c r="AZ5"/>
      <c r="BA5"/>
      <c r="BB5"/>
      <c r="BC5"/>
      <c r="BD5"/>
    </row>
    <row r="6" spans="1:56" s="4" customFormat="1" x14ac:dyDescent="0.25">
      <c r="A6" s="4" t="s">
        <v>4</v>
      </c>
      <c r="D6" s="4" t="s">
        <v>5</v>
      </c>
      <c r="E6" s="4" t="str">
        <f t="shared" si="0"/>
        <v>LA (mm)</v>
      </c>
      <c r="F6" t="s">
        <v>120</v>
      </c>
      <c r="G6" s="4" t="s">
        <v>74</v>
      </c>
      <c r="H6">
        <v>1.534591</v>
      </c>
      <c r="I6">
        <v>1.535663</v>
      </c>
      <c r="J6">
        <v>1.5359700000000001</v>
      </c>
      <c r="K6">
        <v>1.343952</v>
      </c>
      <c r="L6">
        <v>1.7361880000000001</v>
      </c>
      <c r="M6">
        <v>1.8833059999999999</v>
      </c>
      <c r="N6">
        <v>2.1407060000000002</v>
      </c>
      <c r="O6">
        <v>1.885921</v>
      </c>
      <c r="P6">
        <v>2.1005029999999998</v>
      </c>
      <c r="Q6">
        <v>2.24953</v>
      </c>
      <c r="R6">
        <v>2.0366119999999999</v>
      </c>
      <c r="S6">
        <v>2.6731250000000002</v>
      </c>
      <c r="T6">
        <v>2.6246719999999999</v>
      </c>
      <c r="U6">
        <v>2.2218019999999998</v>
      </c>
      <c r="V6">
        <v>1.761109</v>
      </c>
      <c r="W6">
        <v>1.6288480000000001</v>
      </c>
      <c r="X6">
        <v>1.701281</v>
      </c>
      <c r="Y6">
        <v>2.0537679999999998</v>
      </c>
      <c r="Z6">
        <v>2.0670299999999999</v>
      </c>
      <c r="AA6">
        <v>2.2760790000000002</v>
      </c>
      <c r="AB6">
        <v>2.5358849999999999</v>
      </c>
      <c r="AC6">
        <v>2.4324690000000002</v>
      </c>
      <c r="AD6">
        <v>3.3442569999999998</v>
      </c>
      <c r="AE6">
        <v>1.4964390000000001</v>
      </c>
      <c r="AF6">
        <v>1.6371199999999999</v>
      </c>
      <c r="AG6">
        <v>1.5972440000000001</v>
      </c>
      <c r="AH6">
        <v>1.755028</v>
      </c>
      <c r="AI6">
        <v>1.9944539999999999</v>
      </c>
      <c r="AJ6">
        <v>2.094427</v>
      </c>
      <c r="AK6">
        <v>2.261387</v>
      </c>
      <c r="AL6">
        <v>2.4754320000000001</v>
      </c>
      <c r="AM6">
        <v>2.7030310000000002</v>
      </c>
      <c r="AN6">
        <v>2.7419250000000002</v>
      </c>
      <c r="AO6">
        <v>2.4242080000000001</v>
      </c>
      <c r="AP6">
        <v>2.386952</v>
      </c>
      <c r="AQ6">
        <v>2.9514469999999999</v>
      </c>
      <c r="AR6">
        <v>2.9395289999999998</v>
      </c>
      <c r="AS6">
        <v>2.4071129999999998</v>
      </c>
      <c r="AT6">
        <v>2.4642810000000002</v>
      </c>
      <c r="AU6"/>
      <c r="AV6"/>
      <c r="AW6"/>
      <c r="AX6"/>
      <c r="AY6"/>
      <c r="AZ6"/>
      <c r="BA6"/>
      <c r="BB6"/>
      <c r="BC6"/>
      <c r="BD6"/>
    </row>
    <row r="7" spans="1:56" s="4" customFormat="1" x14ac:dyDescent="0.25"/>
    <row r="8" spans="1:56" s="5" customFormat="1" x14ac:dyDescent="0.25">
      <c r="A8" s="5" t="s">
        <v>27</v>
      </c>
      <c r="D8" s="5" t="s">
        <v>22</v>
      </c>
      <c r="E8" s="5" t="str">
        <f t="shared" si="0"/>
        <v>CO (LV Trace) (mL/min)</v>
      </c>
      <c r="F8" t="s">
        <v>121</v>
      </c>
      <c r="G8" s="5" t="s">
        <v>75</v>
      </c>
      <c r="H8">
        <v>18.214269999999999</v>
      </c>
      <c r="I8">
        <v>14.207983</v>
      </c>
      <c r="J8">
        <v>13.808379</v>
      </c>
      <c r="K8">
        <v>15.081167000000001</v>
      </c>
      <c r="L8">
        <v>10.509252</v>
      </c>
      <c r="M8">
        <v>13.40512</v>
      </c>
      <c r="N8">
        <v>16.539747999999999</v>
      </c>
      <c r="O8">
        <v>12.057573</v>
      </c>
      <c r="P8">
        <v>17.892893000000001</v>
      </c>
      <c r="Q8">
        <v>15.029415</v>
      </c>
      <c r="R8">
        <v>26.663613000000002</v>
      </c>
      <c r="S8">
        <v>18.619439</v>
      </c>
      <c r="T8">
        <v>11.545543</v>
      </c>
      <c r="U8">
        <v>20.129446999999999</v>
      </c>
      <c r="V8" s="9"/>
      <c r="W8">
        <v>17.565684999999998</v>
      </c>
      <c r="X8">
        <v>28.124012</v>
      </c>
      <c r="Y8">
        <v>12.292771999999999</v>
      </c>
      <c r="Z8">
        <v>7.571599</v>
      </c>
      <c r="AA8">
        <v>15.22663</v>
      </c>
      <c r="AB8">
        <v>12.064093</v>
      </c>
      <c r="AC8">
        <v>9.6663759999999996</v>
      </c>
      <c r="AD8">
        <v>11.232199</v>
      </c>
      <c r="AE8">
        <v>23.847836999999998</v>
      </c>
      <c r="AF8">
        <v>21.553294000000001</v>
      </c>
      <c r="AG8">
        <v>20.943435000000001</v>
      </c>
      <c r="AH8">
        <v>22.651385999999999</v>
      </c>
      <c r="AI8">
        <v>14.299045</v>
      </c>
      <c r="AJ8">
        <v>18.960152999999998</v>
      </c>
      <c r="AK8">
        <v>14.945008</v>
      </c>
      <c r="AL8">
        <v>12.069545</v>
      </c>
      <c r="AM8">
        <v>9.6682319999999997</v>
      </c>
      <c r="AN8">
        <v>13.885641</v>
      </c>
      <c r="AO8">
        <v>10.803356000000001</v>
      </c>
      <c r="AP8">
        <v>6.5070449999999997</v>
      </c>
      <c r="AQ8">
        <v>16.003874</v>
      </c>
      <c r="AR8">
        <v>22.062092</v>
      </c>
      <c r="AS8">
        <v>14.40682</v>
      </c>
      <c r="AT8">
        <v>15.953863</v>
      </c>
      <c r="AU8"/>
      <c r="AV8"/>
      <c r="AW8"/>
      <c r="AX8"/>
      <c r="AY8"/>
      <c r="AZ8"/>
      <c r="BA8"/>
      <c r="BB8"/>
      <c r="BC8"/>
      <c r="BD8"/>
    </row>
    <row r="9" spans="1:56" s="5" customFormat="1" x14ac:dyDescent="0.25">
      <c r="A9" s="5" t="s">
        <v>28</v>
      </c>
      <c r="D9" s="5" t="s">
        <v>5</v>
      </c>
      <c r="E9" s="5" t="str">
        <f t="shared" si="0"/>
        <v>Diameter;d (LV Trace) (mm)</v>
      </c>
      <c r="F9" t="s">
        <v>122</v>
      </c>
      <c r="G9" s="5" t="s">
        <v>76</v>
      </c>
      <c r="H9">
        <v>3.8696920000000001</v>
      </c>
      <c r="I9">
        <v>3.9600780000000002</v>
      </c>
      <c r="J9">
        <v>3.656936</v>
      </c>
      <c r="K9">
        <v>3.7238519999999999</v>
      </c>
      <c r="L9">
        <v>4.3164939999999996</v>
      </c>
      <c r="M9">
        <v>4.7039749999999998</v>
      </c>
      <c r="N9">
        <v>4.5197520000000004</v>
      </c>
      <c r="O9">
        <v>3.729501</v>
      </c>
      <c r="P9">
        <v>4.8398519999999996</v>
      </c>
      <c r="Q9">
        <v>5.1260250000000003</v>
      </c>
      <c r="R9">
        <v>4.5484939999999998</v>
      </c>
      <c r="S9">
        <v>5.3266710000000002</v>
      </c>
      <c r="T9">
        <v>6.1706139999999996</v>
      </c>
      <c r="U9">
        <v>4.9002910000000002</v>
      </c>
      <c r="V9" s="9"/>
      <c r="W9">
        <v>3.9669759999999998</v>
      </c>
      <c r="X9">
        <v>4.5446239999999998</v>
      </c>
      <c r="Y9">
        <v>3.960995</v>
      </c>
      <c r="Z9">
        <v>4.1313950000000004</v>
      </c>
      <c r="AA9">
        <v>5.1487369999999997</v>
      </c>
      <c r="AB9">
        <v>4.9586220000000001</v>
      </c>
      <c r="AC9">
        <v>4.368989</v>
      </c>
      <c r="AD9">
        <v>7.1836219999999997</v>
      </c>
      <c r="AE9">
        <v>3.440131</v>
      </c>
      <c r="AF9">
        <v>4.0397299999999996</v>
      </c>
      <c r="AG9">
        <v>4.0896509999999999</v>
      </c>
      <c r="AH9">
        <v>4.0120649999999998</v>
      </c>
      <c r="AI9">
        <v>3.917052</v>
      </c>
      <c r="AJ9">
        <v>4.0590109999999999</v>
      </c>
      <c r="AK9">
        <v>4.4989939999999997</v>
      </c>
      <c r="AL9">
        <v>4.3504269999999998</v>
      </c>
      <c r="AM9">
        <v>5.1495980000000001</v>
      </c>
      <c r="AN9">
        <v>4.671881</v>
      </c>
      <c r="AO9">
        <v>5.396236</v>
      </c>
      <c r="AP9">
        <v>5.6000040000000002</v>
      </c>
      <c r="AQ9">
        <v>5.4442849999999998</v>
      </c>
      <c r="AR9">
        <v>5.0182390000000003</v>
      </c>
      <c r="AS9">
        <v>5.21366</v>
      </c>
      <c r="AT9">
        <v>5.9682399999999998</v>
      </c>
      <c r="AU9"/>
      <c r="AV9"/>
      <c r="AW9"/>
      <c r="AX9"/>
      <c r="AY9"/>
      <c r="AZ9"/>
      <c r="BA9"/>
      <c r="BB9"/>
      <c r="BC9"/>
      <c r="BD9"/>
    </row>
    <row r="10" spans="1:56" s="5" customFormat="1" x14ac:dyDescent="0.25">
      <c r="A10" s="5" t="s">
        <v>29</v>
      </c>
      <c r="D10" s="5" t="s">
        <v>5</v>
      </c>
      <c r="E10" s="5" t="str">
        <f t="shared" si="0"/>
        <v>Diameter;s (LV Trace) (mm)</v>
      </c>
      <c r="F10" t="s">
        <v>123</v>
      </c>
      <c r="G10" s="5" t="s">
        <v>77</v>
      </c>
      <c r="H10">
        <v>2.5281090000000002</v>
      </c>
      <c r="I10">
        <v>2.8700450000000002</v>
      </c>
      <c r="J10">
        <v>2.538958</v>
      </c>
      <c r="K10">
        <v>2.4886810000000001</v>
      </c>
      <c r="L10">
        <v>3.8949220000000002</v>
      </c>
      <c r="M10">
        <v>4.1991630000000004</v>
      </c>
      <c r="N10">
        <v>3.8699669999999999</v>
      </c>
      <c r="O10">
        <v>3.1270549999999999</v>
      </c>
      <c r="P10">
        <v>4.1634390000000003</v>
      </c>
      <c r="Q10">
        <v>4.6640199999999998</v>
      </c>
      <c r="R10">
        <v>3.5352420000000002</v>
      </c>
      <c r="S10">
        <v>4.693886</v>
      </c>
      <c r="T10">
        <v>5.8767639999999997</v>
      </c>
      <c r="U10">
        <v>4.0974009999999996</v>
      </c>
      <c r="V10" s="9"/>
      <c r="W10">
        <v>2.7535400000000001</v>
      </c>
      <c r="X10">
        <v>3.199767</v>
      </c>
      <c r="Y10">
        <v>3.1960000000000002</v>
      </c>
      <c r="Z10">
        <v>3.698518</v>
      </c>
      <c r="AA10">
        <v>4.5943560000000003</v>
      </c>
      <c r="AB10">
        <v>4.4076599999999999</v>
      </c>
      <c r="AC10">
        <v>3.9081160000000001</v>
      </c>
      <c r="AD10">
        <v>6.8403169999999998</v>
      </c>
      <c r="AE10">
        <v>1.9562189999999999</v>
      </c>
      <c r="AF10">
        <v>2.7849430000000002</v>
      </c>
      <c r="AG10">
        <v>2.8927049999999999</v>
      </c>
      <c r="AH10">
        <v>2.6936870000000002</v>
      </c>
      <c r="AI10">
        <v>3.2754810000000001</v>
      </c>
      <c r="AJ10">
        <v>3.202124</v>
      </c>
      <c r="AK10">
        <v>3.8734069999999998</v>
      </c>
      <c r="AL10">
        <v>3.8819279999999998</v>
      </c>
      <c r="AM10">
        <v>4.8636109999999997</v>
      </c>
      <c r="AN10">
        <v>4.1791140000000002</v>
      </c>
      <c r="AO10">
        <v>5.0414440000000003</v>
      </c>
      <c r="AP10">
        <v>5.3898840000000003</v>
      </c>
      <c r="AQ10">
        <v>4.9998699999999996</v>
      </c>
      <c r="AR10">
        <v>4.2546059999999999</v>
      </c>
      <c r="AS10">
        <v>4.7905699999999998</v>
      </c>
      <c r="AT10">
        <v>5.515307</v>
      </c>
      <c r="AU10"/>
      <c r="AV10"/>
      <c r="AW10"/>
      <c r="AX10"/>
      <c r="AY10"/>
      <c r="AZ10"/>
      <c r="BA10"/>
      <c r="BB10"/>
      <c r="BC10"/>
      <c r="BD10"/>
    </row>
    <row r="11" spans="1:56" s="5" customFormat="1" x14ac:dyDescent="0.25">
      <c r="A11" s="5" t="s">
        <v>30</v>
      </c>
      <c r="D11" s="5" t="s">
        <v>2</v>
      </c>
      <c r="E11" s="5" t="str">
        <f t="shared" si="0"/>
        <v>EF (%)</v>
      </c>
      <c r="F11" t="s">
        <v>30</v>
      </c>
      <c r="G11" s="5" t="s">
        <v>78</v>
      </c>
      <c r="H11">
        <v>63.763103999999998</v>
      </c>
      <c r="I11">
        <v>50.906319000000003</v>
      </c>
      <c r="J11">
        <v>57.120424</v>
      </c>
      <c r="K11">
        <v>60.638534</v>
      </c>
      <c r="L11">
        <v>22.739794</v>
      </c>
      <c r="M11">
        <v>23.321791999999999</v>
      </c>
      <c r="N11">
        <v>31.782931999999999</v>
      </c>
      <c r="O11">
        <v>30.219192</v>
      </c>
      <c r="P11">
        <v>28.638781999999999</v>
      </c>
      <c r="Q11">
        <v>18.16319</v>
      </c>
      <c r="R11">
        <v>43.501601000000001</v>
      </c>
      <c r="S11">
        <v>24.051679</v>
      </c>
      <c r="T11">
        <v>9.2839069999999992</v>
      </c>
      <c r="U11">
        <v>30.148087</v>
      </c>
      <c r="V11">
        <v>61.735875</v>
      </c>
      <c r="W11">
        <v>55.006369999999997</v>
      </c>
      <c r="X11">
        <v>53.108642000000003</v>
      </c>
      <c r="Y11">
        <v>40.929327000000001</v>
      </c>
      <c r="Z11">
        <v>26.023800000000001</v>
      </c>
      <c r="AA11">
        <v>28.155615999999998</v>
      </c>
      <c r="AB11">
        <v>27.619833</v>
      </c>
      <c r="AC11">
        <v>26.581695</v>
      </c>
      <c r="AD11">
        <v>8.5155999999999992</v>
      </c>
      <c r="AE11">
        <v>70.769847999999996</v>
      </c>
      <c r="AF11">
        <v>57.056595000000002</v>
      </c>
      <c r="AG11">
        <v>55.218018999999998</v>
      </c>
      <c r="AH11">
        <v>59.523296000000002</v>
      </c>
      <c r="AI11">
        <v>43.479762999999998</v>
      </c>
      <c r="AJ11">
        <v>53.231372999999998</v>
      </c>
      <c r="AK11">
        <v>28.492172</v>
      </c>
      <c r="AL11">
        <v>21.912911999999999</v>
      </c>
      <c r="AM11">
        <v>14.273960000000001</v>
      </c>
      <c r="AN11">
        <v>28.919097000000001</v>
      </c>
      <c r="AO11">
        <v>12.392168</v>
      </c>
      <c r="AP11">
        <v>6.0029680000000001</v>
      </c>
      <c r="AQ11">
        <v>16.484947999999999</v>
      </c>
      <c r="AR11">
        <v>22.884202999999999</v>
      </c>
      <c r="AS11">
        <v>16.224954</v>
      </c>
      <c r="AT11">
        <v>15.111034999999999</v>
      </c>
      <c r="AU11"/>
      <c r="AV11"/>
      <c r="AW11"/>
      <c r="AX11"/>
      <c r="AY11"/>
      <c r="AZ11"/>
      <c r="BA11"/>
      <c r="BB11"/>
      <c r="BC11"/>
      <c r="BD11"/>
    </row>
    <row r="12" spans="1:56" s="5" customFormat="1" x14ac:dyDescent="0.25">
      <c r="A12" s="5" t="s">
        <v>31</v>
      </c>
      <c r="D12" s="5" t="s">
        <v>2</v>
      </c>
      <c r="E12" s="5" t="str">
        <f t="shared" si="0"/>
        <v>EF (LV Trace) (%)</v>
      </c>
      <c r="F12" t="s">
        <v>124</v>
      </c>
      <c r="G12" s="5" t="s">
        <v>79</v>
      </c>
      <c r="H12">
        <v>64.507170000000002</v>
      </c>
      <c r="I12">
        <v>54.058093999999997</v>
      </c>
      <c r="J12">
        <v>58.975375</v>
      </c>
      <c r="K12">
        <v>62.606848999999997</v>
      </c>
      <c r="L12">
        <v>21.597373000000001</v>
      </c>
      <c r="M12">
        <v>23.421512</v>
      </c>
      <c r="N12">
        <v>30.723136</v>
      </c>
      <c r="O12">
        <v>34.627502999999997</v>
      </c>
      <c r="P12">
        <v>29.772538999999998</v>
      </c>
      <c r="Q12">
        <v>19.648002999999999</v>
      </c>
      <c r="R12">
        <v>45.020045000000003</v>
      </c>
      <c r="S12">
        <v>25.468938999999999</v>
      </c>
      <c r="T12">
        <v>10.550409</v>
      </c>
      <c r="U12">
        <v>34.259943999999997</v>
      </c>
      <c r="V12" s="9"/>
      <c r="W12">
        <v>58.688997000000001</v>
      </c>
      <c r="X12">
        <v>56.709463999999997</v>
      </c>
      <c r="Y12">
        <v>40.257675999999996</v>
      </c>
      <c r="Z12">
        <v>23.142873000000002</v>
      </c>
      <c r="AA12">
        <v>23.325015</v>
      </c>
      <c r="AB12">
        <v>24.046447000000001</v>
      </c>
      <c r="AC12">
        <v>23.204097999999998</v>
      </c>
      <c r="AD12">
        <v>10.455296000000001</v>
      </c>
      <c r="AE12">
        <v>75.317730999999995</v>
      </c>
      <c r="AF12">
        <v>59.354534000000001</v>
      </c>
      <c r="AG12">
        <v>56.609346000000002</v>
      </c>
      <c r="AH12">
        <v>61.905614</v>
      </c>
      <c r="AI12">
        <v>34.857844999999998</v>
      </c>
      <c r="AJ12">
        <v>43.237825000000001</v>
      </c>
      <c r="AK12">
        <v>29.846374999999998</v>
      </c>
      <c r="AL12">
        <v>23.640307</v>
      </c>
      <c r="AM12">
        <v>12.428234</v>
      </c>
      <c r="AN12">
        <v>23.062625000000001</v>
      </c>
      <c r="AO12">
        <v>14.563565000000001</v>
      </c>
      <c r="AP12">
        <v>8.4489900000000002</v>
      </c>
      <c r="AQ12">
        <v>17.894570999999999</v>
      </c>
      <c r="AR12">
        <v>32.062911</v>
      </c>
      <c r="AS12">
        <v>17.874881999999999</v>
      </c>
      <c r="AT12">
        <v>16.560137000000001</v>
      </c>
      <c r="AU12"/>
      <c r="AV12"/>
      <c r="AW12"/>
      <c r="AX12"/>
      <c r="AY12"/>
      <c r="AZ12"/>
      <c r="BA12"/>
      <c r="BB12"/>
      <c r="BC12"/>
      <c r="BD12"/>
    </row>
    <row r="13" spans="1:56" s="5" customFormat="1" x14ac:dyDescent="0.25">
      <c r="A13" s="5" t="s">
        <v>32</v>
      </c>
      <c r="D13" s="5" t="s">
        <v>2</v>
      </c>
      <c r="E13" s="5" t="str">
        <f t="shared" si="0"/>
        <v>FS (%)</v>
      </c>
      <c r="F13" t="s">
        <v>32</v>
      </c>
      <c r="G13" s="5" t="s">
        <v>80</v>
      </c>
      <c r="H13">
        <v>33.990152000000002</v>
      </c>
      <c r="I13">
        <v>25.555555999999999</v>
      </c>
      <c r="J13">
        <v>29.319368000000001</v>
      </c>
      <c r="K13">
        <v>31.746043</v>
      </c>
      <c r="L13">
        <v>10.326086999999999</v>
      </c>
      <c r="M13">
        <v>10.684936</v>
      </c>
      <c r="N13">
        <v>14.893613999999999</v>
      </c>
      <c r="O13">
        <v>13.855435</v>
      </c>
      <c r="P13">
        <v>13.407819</v>
      </c>
      <c r="Q13">
        <v>8.2322570000000006</v>
      </c>
      <c r="R13">
        <v>21.33334</v>
      </c>
      <c r="S13">
        <v>11.170222000000001</v>
      </c>
      <c r="T13">
        <v>4.1763339999999998</v>
      </c>
      <c r="U13">
        <v>14.136127999999999</v>
      </c>
      <c r="V13">
        <v>32.967024000000002</v>
      </c>
      <c r="W13">
        <v>28.130367</v>
      </c>
      <c r="X13">
        <v>27.225142000000002</v>
      </c>
      <c r="Y13">
        <v>19.774011000000002</v>
      </c>
      <c r="Z13">
        <v>11.904761000000001</v>
      </c>
      <c r="AA13">
        <v>13.013700999999999</v>
      </c>
      <c r="AB13">
        <v>12.903226</v>
      </c>
      <c r="AC13">
        <v>12.209306</v>
      </c>
      <c r="AD13">
        <v>3.8626610000000001</v>
      </c>
      <c r="AE13">
        <v>39.361702000000001</v>
      </c>
      <c r="AF13">
        <v>29.447846999999999</v>
      </c>
      <c r="AG13">
        <v>28.316322</v>
      </c>
      <c r="AH13">
        <v>31.147554</v>
      </c>
      <c r="AI13">
        <v>21.142862999999998</v>
      </c>
      <c r="AJ13">
        <v>27.108438</v>
      </c>
      <c r="AK13">
        <v>13.2653</v>
      </c>
      <c r="AL13">
        <v>9.9415279999999999</v>
      </c>
      <c r="AM13">
        <v>6.4102410000000001</v>
      </c>
      <c r="AN13">
        <v>13.513515999999999</v>
      </c>
      <c r="AO13">
        <v>5.5555479999999999</v>
      </c>
      <c r="AP13">
        <v>2.6505999999999998</v>
      </c>
      <c r="AQ13">
        <v>7.4817010000000002</v>
      </c>
      <c r="AR13">
        <v>10.582008999999999</v>
      </c>
      <c r="AS13">
        <v>7.3298410000000001</v>
      </c>
      <c r="AT13">
        <v>6.9605670000000002</v>
      </c>
      <c r="AU13"/>
      <c r="AV13"/>
      <c r="AW13"/>
      <c r="AX13"/>
      <c r="AY13"/>
      <c r="AZ13"/>
      <c r="BA13"/>
      <c r="BB13"/>
      <c r="BC13"/>
      <c r="BD13"/>
    </row>
    <row r="14" spans="1:56" s="5" customFormat="1" x14ac:dyDescent="0.25">
      <c r="A14" s="5" t="s">
        <v>33</v>
      </c>
      <c r="D14" s="5" t="s">
        <v>2</v>
      </c>
      <c r="E14" s="5" t="str">
        <f t="shared" si="0"/>
        <v>FS (LV Trace) (%)</v>
      </c>
      <c r="F14" t="s">
        <v>125</v>
      </c>
      <c r="G14" s="5" t="s">
        <v>81</v>
      </c>
      <c r="H14">
        <v>34.668973000000001</v>
      </c>
      <c r="I14">
        <v>27.525538999999998</v>
      </c>
      <c r="J14">
        <v>30.571449999999999</v>
      </c>
      <c r="K14">
        <v>33.169189000000003</v>
      </c>
      <c r="L14">
        <v>9.7665380000000006</v>
      </c>
      <c r="M14">
        <v>10.731608</v>
      </c>
      <c r="N14">
        <v>14.37656</v>
      </c>
      <c r="O14">
        <v>16.153523</v>
      </c>
      <c r="P14">
        <v>13.975906999999999</v>
      </c>
      <c r="Q14">
        <v>8.9813869999999998</v>
      </c>
      <c r="R14">
        <v>22.27666</v>
      </c>
      <c r="S14">
        <v>11.879552</v>
      </c>
      <c r="T14">
        <v>4.7620870000000002</v>
      </c>
      <c r="U14">
        <v>16.384536000000001</v>
      </c>
      <c r="V14" s="9"/>
      <c r="W14">
        <v>30.58764</v>
      </c>
      <c r="X14">
        <v>29.592272000000001</v>
      </c>
      <c r="Y14">
        <v>19.313199000000001</v>
      </c>
      <c r="Z14">
        <v>10.477736999999999</v>
      </c>
      <c r="AA14">
        <v>10.767312</v>
      </c>
      <c r="AB14">
        <v>11.111202</v>
      </c>
      <c r="AC14">
        <v>10.548745</v>
      </c>
      <c r="AD14">
        <v>4.7794429999999997</v>
      </c>
      <c r="AE14">
        <v>43.135331999999998</v>
      </c>
      <c r="AF14">
        <v>31.061169</v>
      </c>
      <c r="AG14">
        <v>29.267685</v>
      </c>
      <c r="AH14">
        <v>32.860331000000002</v>
      </c>
      <c r="AI14">
        <v>16.378916</v>
      </c>
      <c r="AJ14">
        <v>21.110738000000001</v>
      </c>
      <c r="AK14">
        <v>13.905044</v>
      </c>
      <c r="AL14">
        <v>10.76904</v>
      </c>
      <c r="AM14">
        <v>5.5535750000000004</v>
      </c>
      <c r="AN14">
        <v>10.547508000000001</v>
      </c>
      <c r="AO14">
        <v>6.5747960000000001</v>
      </c>
      <c r="AP14">
        <v>3.752132</v>
      </c>
      <c r="AQ14">
        <v>8.1629640000000006</v>
      </c>
      <c r="AR14">
        <v>15.217155999999999</v>
      </c>
      <c r="AS14">
        <v>8.1150169999999999</v>
      </c>
      <c r="AT14">
        <v>7.5890630000000003</v>
      </c>
      <c r="AU14"/>
      <c r="AV14"/>
      <c r="AW14"/>
      <c r="AX14"/>
      <c r="AY14"/>
      <c r="AZ14"/>
      <c r="BA14"/>
      <c r="BB14"/>
      <c r="BC14"/>
      <c r="BD14"/>
    </row>
    <row r="15" spans="1:56" s="5" customFormat="1" x14ac:dyDescent="0.25">
      <c r="A15" s="5" t="s">
        <v>34</v>
      </c>
      <c r="D15" s="5" t="s">
        <v>41</v>
      </c>
      <c r="E15" s="5" t="str">
        <f t="shared" si="0"/>
        <v>LV Mass (mg)</v>
      </c>
      <c r="F15" t="s">
        <v>126</v>
      </c>
      <c r="G15" s="5" t="s">
        <v>82</v>
      </c>
      <c r="H15">
        <v>110.740078</v>
      </c>
      <c r="I15">
        <v>123.633601</v>
      </c>
      <c r="J15">
        <v>106.730828</v>
      </c>
      <c r="K15">
        <v>90.676816000000002</v>
      </c>
      <c r="L15">
        <v>157.20951500000001</v>
      </c>
      <c r="M15">
        <v>190.902658</v>
      </c>
      <c r="N15">
        <v>197.10804400000001</v>
      </c>
      <c r="O15">
        <v>110.393351</v>
      </c>
      <c r="P15">
        <v>237.72384099999999</v>
      </c>
      <c r="Q15">
        <v>174.42782099999999</v>
      </c>
      <c r="R15">
        <v>200.86135300000001</v>
      </c>
      <c r="S15">
        <v>269.64299699999998</v>
      </c>
      <c r="T15">
        <v>185.63116299999999</v>
      </c>
      <c r="U15">
        <v>188.86239499999999</v>
      </c>
      <c r="V15">
        <v>111.21222899999999</v>
      </c>
      <c r="W15">
        <v>105.421514</v>
      </c>
      <c r="X15">
        <v>132.79877999999999</v>
      </c>
      <c r="Y15">
        <v>144.845776</v>
      </c>
      <c r="Z15">
        <v>133.43369799999999</v>
      </c>
      <c r="AA15">
        <v>153.237393</v>
      </c>
      <c r="AB15">
        <v>147.51435599999999</v>
      </c>
      <c r="AC15">
        <v>124.996089</v>
      </c>
      <c r="AD15">
        <v>140.06995599999999</v>
      </c>
      <c r="AE15">
        <v>94.656880000000001</v>
      </c>
      <c r="AF15">
        <v>124.33072799999999</v>
      </c>
      <c r="AG15">
        <v>124.495704</v>
      </c>
      <c r="AH15">
        <v>97.951548000000003</v>
      </c>
      <c r="AI15">
        <v>227.224379</v>
      </c>
      <c r="AJ15">
        <v>110.475691</v>
      </c>
      <c r="AK15">
        <v>153.18432100000001</v>
      </c>
      <c r="AL15">
        <v>164.23787799999999</v>
      </c>
      <c r="AM15">
        <v>116.601457</v>
      </c>
      <c r="AN15">
        <v>164.252724</v>
      </c>
      <c r="AO15">
        <v>115.463363</v>
      </c>
      <c r="AP15">
        <v>116.68764899999999</v>
      </c>
      <c r="AQ15">
        <v>107.010311</v>
      </c>
      <c r="AR15">
        <v>161.3535</v>
      </c>
      <c r="AS15">
        <v>113.166878</v>
      </c>
      <c r="AT15">
        <v>192.993313</v>
      </c>
      <c r="AU15"/>
      <c r="AV15"/>
      <c r="AW15"/>
      <c r="AX15"/>
      <c r="AY15"/>
      <c r="AZ15"/>
      <c r="BA15"/>
      <c r="BB15"/>
      <c r="BC15"/>
      <c r="BD15"/>
    </row>
    <row r="16" spans="1:56" s="5" customFormat="1" x14ac:dyDescent="0.25">
      <c r="A16" s="5" t="s">
        <v>35</v>
      </c>
      <c r="D16" s="5" t="s">
        <v>41</v>
      </c>
      <c r="E16" s="5" t="str">
        <f t="shared" si="0"/>
        <v>LV Mass (Corrected) (mg)</v>
      </c>
      <c r="F16" t="s">
        <v>127</v>
      </c>
      <c r="G16" s="5" t="s">
        <v>83</v>
      </c>
      <c r="H16">
        <v>88.592061999999999</v>
      </c>
      <c r="I16">
        <v>98.906880999999998</v>
      </c>
      <c r="J16">
        <v>85.384662000000006</v>
      </c>
      <c r="K16">
        <v>72.541453000000004</v>
      </c>
      <c r="L16">
        <v>125.767612</v>
      </c>
      <c r="M16">
        <v>152.722126</v>
      </c>
      <c r="N16">
        <v>157.68643499999999</v>
      </c>
      <c r="O16">
        <v>88.314680999999993</v>
      </c>
      <c r="P16">
        <v>190.17907299999999</v>
      </c>
      <c r="Q16">
        <v>139.54225700000001</v>
      </c>
      <c r="R16">
        <v>160.68908200000001</v>
      </c>
      <c r="S16">
        <v>215.71439799999999</v>
      </c>
      <c r="T16">
        <v>148.50493</v>
      </c>
      <c r="U16">
        <v>151.08991599999999</v>
      </c>
      <c r="V16">
        <v>88.969783000000007</v>
      </c>
      <c r="W16">
        <v>84.337210999999996</v>
      </c>
      <c r="X16">
        <v>106.239024</v>
      </c>
      <c r="Y16">
        <v>115.876621</v>
      </c>
      <c r="Z16">
        <v>106.74695800000001</v>
      </c>
      <c r="AA16">
        <v>122.58991399999999</v>
      </c>
      <c r="AB16">
        <v>118.01148499999999</v>
      </c>
      <c r="AC16">
        <v>99.996870999999999</v>
      </c>
      <c r="AD16">
        <v>112.055965</v>
      </c>
      <c r="AE16">
        <v>75.725504000000001</v>
      </c>
      <c r="AF16">
        <v>99.464581999999993</v>
      </c>
      <c r="AG16">
        <v>99.596563000000003</v>
      </c>
      <c r="AH16">
        <v>78.361238</v>
      </c>
      <c r="AI16">
        <v>181.77950300000001</v>
      </c>
      <c r="AJ16">
        <v>88.380553000000006</v>
      </c>
      <c r="AK16">
        <v>122.54745699999999</v>
      </c>
      <c r="AL16">
        <v>131.39030199999999</v>
      </c>
      <c r="AM16">
        <v>93.281165999999999</v>
      </c>
      <c r="AN16">
        <v>131.40217899999999</v>
      </c>
      <c r="AO16">
        <v>92.370689999999996</v>
      </c>
      <c r="AP16">
        <v>93.350119000000007</v>
      </c>
      <c r="AQ16">
        <v>85.608249000000001</v>
      </c>
      <c r="AR16">
        <v>129.08279999999999</v>
      </c>
      <c r="AS16">
        <v>90.533501999999999</v>
      </c>
      <c r="AT16">
        <v>154.39465000000001</v>
      </c>
      <c r="AU16"/>
      <c r="AV16"/>
      <c r="AW16"/>
      <c r="AX16"/>
      <c r="AY16"/>
      <c r="AZ16"/>
      <c r="BA16"/>
      <c r="BB16"/>
      <c r="BC16"/>
      <c r="BD16"/>
    </row>
    <row r="17" spans="1:56" s="5" customFormat="1" x14ac:dyDescent="0.25">
      <c r="A17" s="5" t="s">
        <v>36</v>
      </c>
      <c r="D17" s="5" t="s">
        <v>16</v>
      </c>
      <c r="E17" s="5" t="str">
        <f t="shared" si="0"/>
        <v>LV Vol;d (uL)</v>
      </c>
      <c r="F17" t="s">
        <v>128</v>
      </c>
      <c r="G17" s="5" t="s">
        <v>84</v>
      </c>
      <c r="H17">
        <v>58.290947000000003</v>
      </c>
      <c r="I17">
        <v>69.740493000000001</v>
      </c>
      <c r="J17">
        <v>55.573208000000001</v>
      </c>
      <c r="K17">
        <v>57.444612999999997</v>
      </c>
      <c r="L17">
        <v>86.288651999999999</v>
      </c>
      <c r="M17">
        <v>103.20271</v>
      </c>
      <c r="N17">
        <v>87.651949000000002</v>
      </c>
      <c r="O17">
        <v>57.493755</v>
      </c>
      <c r="P17">
        <v>114.100357</v>
      </c>
      <c r="Q17">
        <v>119.03396600000001</v>
      </c>
      <c r="R17">
        <v>88.972587000000004</v>
      </c>
      <c r="S17">
        <v>138.08748499999999</v>
      </c>
      <c r="T17">
        <v>192.71858399999999</v>
      </c>
      <c r="U17">
        <v>103.596183</v>
      </c>
      <c r="V17">
        <v>86.342962999999997</v>
      </c>
      <c r="W17">
        <v>67.831986999999998</v>
      </c>
      <c r="X17">
        <v>94.162364999999994</v>
      </c>
      <c r="Y17">
        <v>78.744106000000002</v>
      </c>
      <c r="Z17">
        <v>78.874543000000003</v>
      </c>
      <c r="AA17">
        <v>85.350498999999999</v>
      </c>
      <c r="AB17">
        <v>118.17454499999999</v>
      </c>
      <c r="AC17">
        <v>83.379566999999994</v>
      </c>
      <c r="AD17">
        <v>254.60326900000001</v>
      </c>
      <c r="AE17">
        <v>55.877554000000003</v>
      </c>
      <c r="AF17">
        <v>65.747225</v>
      </c>
      <c r="AG17">
        <v>71.218650999999994</v>
      </c>
      <c r="AH17">
        <v>67.592865000000003</v>
      </c>
      <c r="AI17">
        <v>70.871679</v>
      </c>
      <c r="AJ17">
        <v>76.830291000000003</v>
      </c>
      <c r="AK17">
        <v>100.003415</v>
      </c>
      <c r="AL17">
        <v>90.261903000000004</v>
      </c>
      <c r="AM17">
        <v>127.12345999999999</v>
      </c>
      <c r="AN17">
        <v>105.898692</v>
      </c>
      <c r="AO17">
        <v>140.11578800000001</v>
      </c>
      <c r="AP17">
        <v>150.91132099999999</v>
      </c>
      <c r="AQ17">
        <v>140.57640699999999</v>
      </c>
      <c r="AR17">
        <v>136.06925699999999</v>
      </c>
      <c r="AS17">
        <v>127.42503000000001</v>
      </c>
      <c r="AT17">
        <v>231.58642</v>
      </c>
      <c r="AU17"/>
      <c r="AV17"/>
      <c r="AW17"/>
      <c r="AX17"/>
      <c r="AY17"/>
      <c r="AZ17"/>
      <c r="BA17"/>
      <c r="BB17"/>
      <c r="BC17"/>
      <c r="BD17"/>
    </row>
    <row r="18" spans="1:56" s="5" customFormat="1" x14ac:dyDescent="0.25">
      <c r="A18" s="5" t="s">
        <v>37</v>
      </c>
      <c r="D18" s="5" t="s">
        <v>16</v>
      </c>
      <c r="E18" s="5" t="str">
        <f t="shared" si="0"/>
        <v>LV Vol;s (uL)</v>
      </c>
      <c r="F18" t="s">
        <v>129</v>
      </c>
      <c r="G18" s="5" t="s">
        <v>85</v>
      </c>
      <c r="H18">
        <v>21.12283</v>
      </c>
      <c r="I18">
        <v>34.238174999999998</v>
      </c>
      <c r="J18">
        <v>23.829556</v>
      </c>
      <c r="K18">
        <v>22.611042000000001</v>
      </c>
      <c r="L18">
        <v>66.666790000000006</v>
      </c>
      <c r="M18">
        <v>79.133989</v>
      </c>
      <c r="N18">
        <v>59.793590000000002</v>
      </c>
      <c r="O18">
        <v>40.119607000000002</v>
      </c>
      <c r="P18">
        <v>81.423404000000005</v>
      </c>
      <c r="Q18">
        <v>97.413601</v>
      </c>
      <c r="R18">
        <v>50.268087000000001</v>
      </c>
      <c r="S18">
        <v>104.87512599999999</v>
      </c>
      <c r="T18">
        <v>174.82676900000001</v>
      </c>
      <c r="U18">
        <v>72.363916000000003</v>
      </c>
      <c r="V18">
        <v>33.038378999999999</v>
      </c>
      <c r="W18">
        <v>30.520073</v>
      </c>
      <c r="X18">
        <v>44.154012000000002</v>
      </c>
      <c r="Y18">
        <v>46.514673000000002</v>
      </c>
      <c r="Z18">
        <v>58.348390000000002</v>
      </c>
      <c r="AA18">
        <v>61.319540000000003</v>
      </c>
      <c r="AB18">
        <v>85.534932999999995</v>
      </c>
      <c r="AC18">
        <v>61.215865000000001</v>
      </c>
      <c r="AD18">
        <v>232.92227399999999</v>
      </c>
      <c r="AE18">
        <v>16.333093999999999</v>
      </c>
      <c r="AF18">
        <v>28.234096999999998</v>
      </c>
      <c r="AG18">
        <v>31.893122999999999</v>
      </c>
      <c r="AH18">
        <v>27.359363999999999</v>
      </c>
      <c r="AI18">
        <v>40.056840999999999</v>
      </c>
      <c r="AJ18">
        <v>35.932471999999997</v>
      </c>
      <c r="AK18">
        <v>71.510270000000006</v>
      </c>
      <c r="AL18">
        <v>70.482892000000007</v>
      </c>
      <c r="AM18">
        <v>108.977908</v>
      </c>
      <c r="AN18">
        <v>75.273747</v>
      </c>
      <c r="AO18">
        <v>122.752404</v>
      </c>
      <c r="AP18">
        <v>141.85216299999999</v>
      </c>
      <c r="AQ18">
        <v>117.40246</v>
      </c>
      <c r="AR18">
        <v>104.930892</v>
      </c>
      <c r="AS18">
        <v>106.750377</v>
      </c>
      <c r="AT18">
        <v>196.59131400000001</v>
      </c>
      <c r="AU18"/>
      <c r="AV18"/>
      <c r="AW18"/>
      <c r="AX18"/>
      <c r="AY18"/>
      <c r="AZ18"/>
      <c r="BA18"/>
      <c r="BB18"/>
      <c r="BC18"/>
      <c r="BD18"/>
    </row>
    <row r="19" spans="1:56" s="5" customFormat="1" x14ac:dyDescent="0.25">
      <c r="A19" s="5" t="s">
        <v>38</v>
      </c>
      <c r="D19" s="5" t="s">
        <v>16</v>
      </c>
      <c r="E19" s="5" t="str">
        <f t="shared" si="0"/>
        <v>SV (LV Trace) (uL)</v>
      </c>
      <c r="F19" t="s">
        <v>130</v>
      </c>
      <c r="G19" s="5" t="s">
        <v>86</v>
      </c>
      <c r="H19">
        <v>41.735976999999998</v>
      </c>
      <c r="I19">
        <v>36.953384999999997</v>
      </c>
      <c r="J19">
        <v>33.348768999999997</v>
      </c>
      <c r="K19">
        <v>36.957237999999997</v>
      </c>
      <c r="L19">
        <v>18.103936999999998</v>
      </c>
      <c r="M19">
        <v>24.021975000000001</v>
      </c>
      <c r="N19">
        <v>28.697842000000001</v>
      </c>
      <c r="O19">
        <v>20.513950000000001</v>
      </c>
      <c r="P19">
        <v>32.636637</v>
      </c>
      <c r="Q19">
        <v>24.835478999999999</v>
      </c>
      <c r="R19">
        <v>42.679557000000003</v>
      </c>
      <c r="S19">
        <v>34.872656999999997</v>
      </c>
      <c r="T19">
        <v>20.246392</v>
      </c>
      <c r="U19">
        <v>38.657485000000001</v>
      </c>
      <c r="V19" s="9"/>
      <c r="W19">
        <v>40.297392000000002</v>
      </c>
      <c r="X19">
        <v>53.654364999999999</v>
      </c>
      <c r="Y19">
        <v>27.535810000000001</v>
      </c>
      <c r="Z19">
        <v>17.490393999999998</v>
      </c>
      <c r="AA19">
        <v>29.525282000000001</v>
      </c>
      <c r="AB19">
        <v>27.889503000000001</v>
      </c>
      <c r="AC19">
        <v>20.013694000000001</v>
      </c>
      <c r="AD19">
        <v>28.304324999999999</v>
      </c>
      <c r="AE19">
        <v>36.788600000000002</v>
      </c>
      <c r="AF19">
        <v>42.589309999999998</v>
      </c>
      <c r="AG19">
        <v>41.767609</v>
      </c>
      <c r="AH19">
        <v>43.649220999999997</v>
      </c>
      <c r="AI19">
        <v>23.216089</v>
      </c>
      <c r="AJ19">
        <v>31.344293</v>
      </c>
      <c r="AK19">
        <v>27.588486</v>
      </c>
      <c r="AL19">
        <v>20.193020000000001</v>
      </c>
      <c r="AM19">
        <v>15.737463999999999</v>
      </c>
      <c r="AN19">
        <v>23.278506</v>
      </c>
      <c r="AO19">
        <v>20.547384000000001</v>
      </c>
      <c r="AP19">
        <v>12.98517</v>
      </c>
      <c r="AQ19">
        <v>25.769202</v>
      </c>
      <c r="AR19">
        <v>38.236874</v>
      </c>
      <c r="AS19">
        <v>23.295828</v>
      </c>
      <c r="AT19">
        <v>29.449058000000001</v>
      </c>
      <c r="AU19"/>
      <c r="AV19"/>
      <c r="AW19"/>
      <c r="AX19"/>
      <c r="AY19"/>
      <c r="AZ19"/>
      <c r="BA19"/>
      <c r="BB19"/>
      <c r="BC19"/>
      <c r="BD19"/>
    </row>
    <row r="20" spans="1:56" s="5" customFormat="1" x14ac:dyDescent="0.25">
      <c r="A20" s="5" t="s">
        <v>39</v>
      </c>
      <c r="D20" s="5" t="s">
        <v>16</v>
      </c>
      <c r="E20" s="5" t="str">
        <f t="shared" si="0"/>
        <v>V;d (LV Trace) (uL)</v>
      </c>
      <c r="F20" t="s">
        <v>131</v>
      </c>
      <c r="G20" s="5" t="s">
        <v>87</v>
      </c>
      <c r="H20">
        <v>64.699748999999997</v>
      </c>
      <c r="I20">
        <v>68.358653000000004</v>
      </c>
      <c r="J20">
        <v>56.546937999999997</v>
      </c>
      <c r="K20">
        <v>59.030662999999997</v>
      </c>
      <c r="L20">
        <v>83.824719000000002</v>
      </c>
      <c r="M20">
        <v>102.56372500000001</v>
      </c>
      <c r="N20">
        <v>93.407920000000004</v>
      </c>
      <c r="O20">
        <v>59.241782999999998</v>
      </c>
      <c r="P20">
        <v>109.619935</v>
      </c>
      <c r="Q20">
        <v>125.463491</v>
      </c>
      <c r="R20">
        <v>94.801231000000001</v>
      </c>
      <c r="S20">
        <v>136.92230000000001</v>
      </c>
      <c r="T20">
        <v>191.90149299999999</v>
      </c>
      <c r="U20">
        <v>112.83581</v>
      </c>
      <c r="V20" s="9"/>
      <c r="W20">
        <v>68.659914000000001</v>
      </c>
      <c r="X20">
        <v>94.612717000000004</v>
      </c>
      <c r="Y20">
        <v>68.398905999999997</v>
      </c>
      <c r="Z20">
        <v>75.575721999999999</v>
      </c>
      <c r="AA20">
        <v>126.582048</v>
      </c>
      <c r="AB20">
        <v>115.981802</v>
      </c>
      <c r="AC20">
        <v>86.250690000000006</v>
      </c>
      <c r="AD20">
        <v>270.77354200000002</v>
      </c>
      <c r="AE20">
        <v>48.844541</v>
      </c>
      <c r="AF20">
        <v>71.754096000000004</v>
      </c>
      <c r="AG20">
        <v>73.782179999999997</v>
      </c>
      <c r="AH20">
        <v>70.509309999999999</v>
      </c>
      <c r="AI20">
        <v>66.602192000000002</v>
      </c>
      <c r="AJ20">
        <v>72.492761000000002</v>
      </c>
      <c r="AK20">
        <v>92.434962999999996</v>
      </c>
      <c r="AL20">
        <v>85.417755</v>
      </c>
      <c r="AM20">
        <v>126.626715</v>
      </c>
      <c r="AN20">
        <v>100.936065</v>
      </c>
      <c r="AO20">
        <v>141.08759699999999</v>
      </c>
      <c r="AP20">
        <v>153.68902</v>
      </c>
      <c r="AQ20">
        <v>144.00569300000001</v>
      </c>
      <c r="AR20">
        <v>119.25577800000001</v>
      </c>
      <c r="AS20">
        <v>130.32717</v>
      </c>
      <c r="AT20">
        <v>177.831006</v>
      </c>
      <c r="AU20"/>
      <c r="AV20"/>
      <c r="AW20"/>
      <c r="AX20"/>
      <c r="AY20"/>
      <c r="AZ20"/>
      <c r="BA20"/>
      <c r="BB20"/>
      <c r="BC20"/>
      <c r="BD20"/>
    </row>
    <row r="21" spans="1:56" s="5" customFormat="1" x14ac:dyDescent="0.25">
      <c r="A21" s="5" t="s">
        <v>40</v>
      </c>
      <c r="D21" s="5" t="s">
        <v>16</v>
      </c>
      <c r="E21" s="5" t="str">
        <f t="shared" si="0"/>
        <v>V;s (LV Trace) (uL)</v>
      </c>
      <c r="F21" t="s">
        <v>132</v>
      </c>
      <c r="G21" s="5" t="s">
        <v>88</v>
      </c>
      <c r="H21">
        <v>22.963771999999999</v>
      </c>
      <c r="I21">
        <v>31.405269000000001</v>
      </c>
      <c r="J21">
        <v>23.198169</v>
      </c>
      <c r="K21">
        <v>22.073425</v>
      </c>
      <c r="L21">
        <v>65.720782</v>
      </c>
      <c r="M21">
        <v>78.541749999999993</v>
      </c>
      <c r="N21">
        <v>64.710077999999996</v>
      </c>
      <c r="O21">
        <v>38.727832999999997</v>
      </c>
      <c r="P21">
        <v>76.983296999999993</v>
      </c>
      <c r="Q21">
        <v>100.628012</v>
      </c>
      <c r="R21">
        <v>52.121673999999999</v>
      </c>
      <c r="S21">
        <v>102.049643</v>
      </c>
      <c r="T21">
        <v>171.655101</v>
      </c>
      <c r="U21">
        <v>74.178325000000001</v>
      </c>
      <c r="V21" s="9"/>
      <c r="W21">
        <v>28.362521999999998</v>
      </c>
      <c r="X21">
        <v>40.958351999999998</v>
      </c>
      <c r="Y21">
        <v>40.863095999999999</v>
      </c>
      <c r="Z21">
        <v>58.085329000000002</v>
      </c>
      <c r="AA21">
        <v>97.056765999999996</v>
      </c>
      <c r="AB21">
        <v>88.092298999999997</v>
      </c>
      <c r="AC21">
        <v>66.236994999999993</v>
      </c>
      <c r="AD21">
        <v>242.46921599999999</v>
      </c>
      <c r="AE21">
        <v>12.055941000000001</v>
      </c>
      <c r="AF21">
        <v>29.164787</v>
      </c>
      <c r="AG21">
        <v>32.014570999999997</v>
      </c>
      <c r="AH21">
        <v>26.860088999999999</v>
      </c>
      <c r="AI21">
        <v>43.386104000000003</v>
      </c>
      <c r="AJ21">
        <v>41.148466999999997</v>
      </c>
      <c r="AK21">
        <v>64.846478000000005</v>
      </c>
      <c r="AL21">
        <v>65.224734999999995</v>
      </c>
      <c r="AM21">
        <v>110.889251</v>
      </c>
      <c r="AN21">
        <v>77.657559000000006</v>
      </c>
      <c r="AO21">
        <v>120.54021400000001</v>
      </c>
      <c r="AP21">
        <v>140.70384999999999</v>
      </c>
      <c r="AQ21">
        <v>118.236491</v>
      </c>
      <c r="AR21">
        <v>81.018904000000006</v>
      </c>
      <c r="AS21">
        <v>107.03134300000001</v>
      </c>
      <c r="AT21">
        <v>148.38194799999999</v>
      </c>
      <c r="AU21"/>
      <c r="AV21"/>
      <c r="AW21"/>
      <c r="AX21"/>
      <c r="AY21"/>
      <c r="AZ21"/>
      <c r="BA21"/>
      <c r="BB21"/>
      <c r="BC21"/>
      <c r="BD21"/>
    </row>
    <row r="22" spans="1:56" s="5" customFormat="1" x14ac:dyDescent="0.25"/>
    <row r="23" spans="1:56" s="6" customFormat="1" x14ac:dyDescent="0.25">
      <c r="A23" s="6" t="s">
        <v>42</v>
      </c>
      <c r="B23" s="6" t="s">
        <v>49</v>
      </c>
      <c r="C23" s="6" t="s">
        <v>50</v>
      </c>
      <c r="D23" s="6" t="s">
        <v>51</v>
      </c>
      <c r="E23" s="6" t="str">
        <f t="shared" si="0"/>
        <v>A' (mm/s)</v>
      </c>
      <c r="F23" t="s">
        <v>133</v>
      </c>
      <c r="G23" s="6" t="s">
        <v>64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/>
      <c r="AV23"/>
      <c r="AW23"/>
      <c r="AX23"/>
      <c r="AY23"/>
      <c r="AZ23"/>
      <c r="BA23"/>
      <c r="BB23"/>
      <c r="BC23"/>
      <c r="BD23"/>
    </row>
    <row r="24" spans="1:56" s="6" customFormat="1" x14ac:dyDescent="0.25">
      <c r="A24" s="6" t="s">
        <v>43</v>
      </c>
      <c r="B24" s="6" t="s">
        <v>49</v>
      </c>
      <c r="C24" s="6" t="s">
        <v>50</v>
      </c>
      <c r="D24" s="6" t="s">
        <v>51</v>
      </c>
      <c r="E24" s="6" t="str">
        <f t="shared" si="0"/>
        <v>E' (mm/s)</v>
      </c>
      <c r="F24" t="s">
        <v>134</v>
      </c>
      <c r="G24" s="6" t="s">
        <v>65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/>
      <c r="AV24"/>
      <c r="AW24"/>
      <c r="AX24"/>
      <c r="AY24"/>
      <c r="AZ24"/>
      <c r="BA24"/>
      <c r="BB24"/>
      <c r="BC24"/>
      <c r="BD24"/>
    </row>
    <row r="25" spans="1:56" s="6" customFormat="1" x14ac:dyDescent="0.25">
      <c r="A25" s="6" t="s">
        <v>44</v>
      </c>
      <c r="B25" s="6" t="s">
        <v>52</v>
      </c>
      <c r="C25" s="6" t="s">
        <v>53</v>
      </c>
      <c r="D25" s="6" t="s">
        <v>54</v>
      </c>
      <c r="E25" s="6" t="str">
        <f t="shared" si="0"/>
        <v>IVCT (ms)</v>
      </c>
      <c r="F25" t="s">
        <v>135</v>
      </c>
      <c r="G25" s="6" t="s">
        <v>66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/>
      <c r="AV25"/>
      <c r="AW25"/>
      <c r="AX25"/>
      <c r="AY25"/>
      <c r="AZ25"/>
      <c r="BA25"/>
      <c r="BB25"/>
      <c r="BC25"/>
      <c r="BD25"/>
    </row>
    <row r="26" spans="1:56" s="6" customFormat="1" x14ac:dyDescent="0.25">
      <c r="A26" s="6" t="s">
        <v>45</v>
      </c>
      <c r="B26" s="6" t="s">
        <v>52</v>
      </c>
      <c r="C26" s="6" t="s">
        <v>53</v>
      </c>
      <c r="D26" s="6" t="s">
        <v>54</v>
      </c>
      <c r="E26" s="6" t="str">
        <f t="shared" si="0"/>
        <v>IVRT (ms)</v>
      </c>
      <c r="F26" t="s">
        <v>136</v>
      </c>
      <c r="G26" s="6" t="s">
        <v>67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/>
      <c r="AV26"/>
      <c r="AW26"/>
      <c r="AX26"/>
      <c r="AY26"/>
      <c r="AZ26"/>
      <c r="BA26"/>
      <c r="BB26"/>
      <c r="BC26"/>
      <c r="BD26"/>
    </row>
    <row r="27" spans="1:56" s="6" customFormat="1" x14ac:dyDescent="0.25">
      <c r="A27" s="6" t="s">
        <v>46</v>
      </c>
      <c r="B27" s="6" t="s">
        <v>52</v>
      </c>
      <c r="C27" s="6" t="s">
        <v>50</v>
      </c>
      <c r="D27" s="6" t="s">
        <v>51</v>
      </c>
      <c r="E27" s="6" t="str">
        <f t="shared" si="0"/>
        <v>MV A (mm/s)</v>
      </c>
      <c r="F27" t="s">
        <v>137</v>
      </c>
      <c r="G27" s="6" t="s">
        <v>68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/>
      <c r="AV27"/>
      <c r="AW27"/>
      <c r="AX27"/>
      <c r="AY27"/>
      <c r="AZ27"/>
      <c r="BA27"/>
      <c r="BB27"/>
      <c r="BC27"/>
      <c r="BD27"/>
    </row>
    <row r="28" spans="1:56" s="6" customFormat="1" x14ac:dyDescent="0.25">
      <c r="A28" s="6" t="s">
        <v>47</v>
      </c>
      <c r="B28" s="6" t="s">
        <v>52</v>
      </c>
      <c r="C28" s="6" t="s">
        <v>55</v>
      </c>
      <c r="D28" s="6" t="s">
        <v>56</v>
      </c>
      <c r="E28" s="6" t="str">
        <f t="shared" si="0"/>
        <v>MV Decel (mm/s2)</v>
      </c>
      <c r="F28" t="s">
        <v>138</v>
      </c>
      <c r="G28" s="6" t="s">
        <v>69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/>
      <c r="AV28"/>
      <c r="AW28"/>
      <c r="AX28"/>
      <c r="AY28"/>
      <c r="AZ28"/>
      <c r="BA28"/>
      <c r="BB28"/>
      <c r="BC28"/>
      <c r="BD28"/>
    </row>
    <row r="29" spans="1:56" s="6" customFormat="1" x14ac:dyDescent="0.25">
      <c r="A29" s="6" t="s">
        <v>47</v>
      </c>
      <c r="B29" s="6" t="s">
        <v>52</v>
      </c>
      <c r="C29" s="6" t="s">
        <v>53</v>
      </c>
      <c r="D29" s="6" t="s">
        <v>54</v>
      </c>
      <c r="E29" s="6" t="str">
        <f t="shared" si="0"/>
        <v>MV Decel (ms)</v>
      </c>
      <c r="F29" t="s">
        <v>139</v>
      </c>
      <c r="G29" s="6" t="s">
        <v>70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/>
      <c r="AV29"/>
      <c r="AW29"/>
      <c r="AX29"/>
      <c r="AY29"/>
      <c r="AZ29"/>
      <c r="BA29"/>
      <c r="BB29"/>
      <c r="BC29"/>
      <c r="BD29"/>
    </row>
    <row r="30" spans="1:56" s="6" customFormat="1" x14ac:dyDescent="0.25">
      <c r="A30" s="6" t="s">
        <v>48</v>
      </c>
      <c r="B30" s="6" t="s">
        <v>52</v>
      </c>
      <c r="C30" s="6" t="s">
        <v>50</v>
      </c>
      <c r="D30" s="6" t="s">
        <v>51</v>
      </c>
      <c r="E30" s="6" t="str">
        <f t="shared" si="0"/>
        <v>MV E (mm/s)</v>
      </c>
      <c r="F30" t="s">
        <v>140</v>
      </c>
      <c r="G30" s="6" t="s">
        <v>71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/>
      <c r="AV30"/>
      <c r="AW30"/>
      <c r="AX30"/>
      <c r="AY30"/>
      <c r="AZ30"/>
      <c r="BA30"/>
      <c r="BB30"/>
      <c r="BC30"/>
      <c r="BD30"/>
    </row>
    <row r="31" spans="1:56" s="7" customFormat="1" x14ac:dyDescent="0.25">
      <c r="A31" s="7" t="s">
        <v>60</v>
      </c>
      <c r="E31" s="7" t="str">
        <f t="shared" si="0"/>
        <v>A' by E' ()</v>
      </c>
      <c r="F31" t="s">
        <v>141</v>
      </c>
      <c r="G31" s="7" t="s">
        <v>60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/>
      <c r="AV31"/>
      <c r="AW31"/>
      <c r="AX31"/>
      <c r="AY31"/>
      <c r="AZ31"/>
      <c r="BA31"/>
      <c r="BB31"/>
      <c r="BC31"/>
      <c r="BD31"/>
    </row>
    <row r="32" spans="1:56" s="7" customFormat="1" x14ac:dyDescent="0.25">
      <c r="A32" s="7" t="s">
        <v>61</v>
      </c>
      <c r="E32" s="7" t="str">
        <f t="shared" si="0"/>
        <v>E' by A' ()</v>
      </c>
      <c r="F32" t="s">
        <v>142</v>
      </c>
      <c r="G32" s="7" t="s">
        <v>61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/>
      <c r="AV32"/>
      <c r="AW32"/>
      <c r="AX32"/>
      <c r="AY32"/>
      <c r="AZ32"/>
      <c r="BA32"/>
      <c r="BB32"/>
      <c r="BC32"/>
      <c r="BD32"/>
    </row>
    <row r="33" spans="1:56" s="7" customFormat="1" x14ac:dyDescent="0.25">
      <c r="A33" s="7" t="s">
        <v>57</v>
      </c>
      <c r="E33" s="7" t="str">
        <f t="shared" si="0"/>
        <v>MV Area (simplified) ()</v>
      </c>
      <c r="F33" t="s">
        <v>143</v>
      </c>
      <c r="G33" s="7" t="s">
        <v>57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/>
      <c r="AV33"/>
      <c r="AW33"/>
      <c r="AX33"/>
      <c r="AY33"/>
      <c r="AZ33"/>
      <c r="BA33"/>
      <c r="BB33"/>
      <c r="BC33"/>
      <c r="BD33"/>
    </row>
    <row r="34" spans="1:56" s="7" customFormat="1" x14ac:dyDescent="0.25">
      <c r="A34" s="7" t="s">
        <v>62</v>
      </c>
      <c r="E34" s="7" t="str">
        <f t="shared" si="0"/>
        <v>MV E by A ()</v>
      </c>
      <c r="F34" t="s">
        <v>144</v>
      </c>
      <c r="G34" s="7" t="s">
        <v>62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/>
      <c r="AV34"/>
      <c r="AW34"/>
      <c r="AX34"/>
      <c r="AY34"/>
      <c r="AZ34"/>
      <c r="BA34"/>
      <c r="BB34"/>
      <c r="BC34"/>
      <c r="BD34"/>
    </row>
    <row r="35" spans="1:56" s="7" customFormat="1" x14ac:dyDescent="0.25">
      <c r="A35" s="7" t="s">
        <v>63</v>
      </c>
      <c r="E35" s="7" t="str">
        <f t="shared" si="0"/>
        <v>MV E by E' ()</v>
      </c>
      <c r="F35" t="s">
        <v>145</v>
      </c>
      <c r="G35" s="7" t="s">
        <v>63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/>
      <c r="AV35"/>
      <c r="AW35"/>
      <c r="AX35"/>
      <c r="AY35"/>
      <c r="AZ35"/>
      <c r="BA35"/>
      <c r="BB35"/>
      <c r="BC35"/>
      <c r="BD35"/>
    </row>
    <row r="36" spans="1:56" s="7" customFormat="1" x14ac:dyDescent="0.25">
      <c r="A36" s="7" t="s">
        <v>58</v>
      </c>
      <c r="E36" s="7" t="str">
        <f t="shared" si="0"/>
        <v>MV PHT (simplified) ()</v>
      </c>
      <c r="F36" t="s">
        <v>146</v>
      </c>
      <c r="G36" s="7" t="s">
        <v>58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/>
      <c r="AV36"/>
      <c r="AW36"/>
      <c r="AX36"/>
      <c r="AY36"/>
      <c r="AZ36"/>
      <c r="BA36"/>
      <c r="BB36"/>
      <c r="BC36"/>
      <c r="BD36"/>
    </row>
    <row r="37" spans="1:56" s="7" customFormat="1" x14ac:dyDescent="0.25">
      <c r="AA37"/>
      <c r="AH37"/>
      <c r="AK37"/>
    </row>
    <row r="38" spans="1:56" x14ac:dyDescent="0.25">
      <c r="A38" t="s">
        <v>6</v>
      </c>
      <c r="B38" t="s">
        <v>7</v>
      </c>
      <c r="C38" t="s">
        <v>8</v>
      </c>
      <c r="D38" t="s">
        <v>5</v>
      </c>
      <c r="E38" t="str">
        <f>CONCATENATE(A38,"_",C38," (",D38,")")</f>
        <v>IVS;d_Depth (mm)</v>
      </c>
      <c r="F38" t="s">
        <v>156</v>
      </c>
      <c r="G38" t="s">
        <v>189</v>
      </c>
      <c r="H38">
        <v>0.875911</v>
      </c>
      <c r="I38">
        <v>0.88749999999999996</v>
      </c>
      <c r="J38">
        <v>0.93158300000000005</v>
      </c>
      <c r="K38">
        <v>0.74025799999999997</v>
      </c>
      <c r="L38">
        <v>0.87875000000000003</v>
      </c>
      <c r="M38">
        <v>1.0337529999999999</v>
      </c>
      <c r="N38">
        <v>1.0529999999999999</v>
      </c>
      <c r="O38">
        <v>0.71</v>
      </c>
      <c r="P38">
        <v>1.100317</v>
      </c>
      <c r="Q38">
        <v>0.71852199999999999</v>
      </c>
      <c r="R38">
        <v>0.91496699999999997</v>
      </c>
      <c r="S38">
        <v>1.336562</v>
      </c>
      <c r="T38">
        <v>0.51637599999999995</v>
      </c>
      <c r="U38">
        <v>0.86568800000000001</v>
      </c>
      <c r="V38">
        <v>0.64846999999999999</v>
      </c>
      <c r="W38">
        <v>0.85650999999999999</v>
      </c>
      <c r="X38">
        <v>0.73611499999999996</v>
      </c>
      <c r="Y38">
        <v>0.92625000000000002</v>
      </c>
      <c r="Z38">
        <v>1.1267929999999999</v>
      </c>
      <c r="AA38">
        <v>0.98316499999999996</v>
      </c>
      <c r="AB38">
        <v>0.80625000000000002</v>
      </c>
      <c r="AC38">
        <v>0.82631500000000002</v>
      </c>
      <c r="AD38">
        <v>0.45</v>
      </c>
      <c r="AE38">
        <v>0.73565400000000003</v>
      </c>
      <c r="AF38">
        <v>0.90825900000000004</v>
      </c>
      <c r="AG38">
        <v>0.85311800000000004</v>
      </c>
      <c r="AH38">
        <v>0.64615400000000001</v>
      </c>
      <c r="AI38">
        <v>1.3556189999999999</v>
      </c>
      <c r="AJ38">
        <v>0.77691200000000005</v>
      </c>
      <c r="AK38">
        <v>1.0209029999999999</v>
      </c>
      <c r="AL38">
        <v>1.0940719999999999</v>
      </c>
      <c r="AM38">
        <v>0.66134199999999999</v>
      </c>
      <c r="AN38">
        <v>0.54132899999999995</v>
      </c>
      <c r="AO38">
        <v>0.79705400000000004</v>
      </c>
      <c r="AP38">
        <v>0.56231200000000003</v>
      </c>
      <c r="AQ38">
        <v>0.45904800000000001</v>
      </c>
      <c r="AR38">
        <v>0.73079099999999997</v>
      </c>
      <c r="AS38">
        <v>0.52718799999999999</v>
      </c>
      <c r="AT38">
        <v>0.59097900000000003</v>
      </c>
    </row>
    <row r="39" spans="1:56" x14ac:dyDescent="0.25">
      <c r="A39" t="s">
        <v>9</v>
      </c>
      <c r="B39" t="s">
        <v>7</v>
      </c>
      <c r="C39" t="s">
        <v>8</v>
      </c>
      <c r="D39" t="s">
        <v>5</v>
      </c>
      <c r="E39" t="str">
        <f t="shared" ref="E39:E52" si="1">CONCATENATE(A39,"_",C39," (",D39,")")</f>
        <v>IVS;s_Depth (mm)</v>
      </c>
      <c r="F39" t="s">
        <v>157</v>
      </c>
      <c r="G39" t="s">
        <v>190</v>
      </c>
      <c r="H39">
        <v>1.240874</v>
      </c>
      <c r="I39">
        <v>1.1981250000000001</v>
      </c>
      <c r="J39">
        <v>1.216761</v>
      </c>
      <c r="K39">
        <v>1.149348</v>
      </c>
      <c r="L39">
        <v>0.99750000000000005</v>
      </c>
      <c r="M39">
        <v>1.162973</v>
      </c>
      <c r="N39">
        <v>1.4508000000000001</v>
      </c>
      <c r="O39">
        <v>0.84312500000000001</v>
      </c>
      <c r="P39">
        <v>1.4029039999999999</v>
      </c>
      <c r="Q39">
        <v>0.91508400000000001</v>
      </c>
      <c r="R39">
        <v>1.298662</v>
      </c>
      <c r="S39">
        <v>1.70625</v>
      </c>
      <c r="T39">
        <v>0.57375100000000001</v>
      </c>
      <c r="U39">
        <v>1.335634</v>
      </c>
      <c r="V39">
        <v>1.152836</v>
      </c>
      <c r="W39">
        <v>1.3609370000000001</v>
      </c>
      <c r="X39">
        <v>1.116045</v>
      </c>
      <c r="Y39">
        <v>1.25875</v>
      </c>
      <c r="Z39">
        <v>1.2770319999999999</v>
      </c>
      <c r="AA39">
        <v>1.251301</v>
      </c>
      <c r="AB39">
        <v>1.048125</v>
      </c>
      <c r="AC39">
        <v>1.026634</v>
      </c>
      <c r="AD39">
        <v>0.54</v>
      </c>
      <c r="AE39">
        <v>1.258356</v>
      </c>
      <c r="AF39">
        <v>1.0755699999999999</v>
      </c>
      <c r="AG39">
        <v>1.2745379999999999</v>
      </c>
      <c r="AH39">
        <v>0.92615400000000003</v>
      </c>
      <c r="AI39">
        <v>1.562408</v>
      </c>
      <c r="AJ39">
        <v>1.303207</v>
      </c>
      <c r="AK39">
        <v>1.210839</v>
      </c>
      <c r="AL39">
        <v>1.302467</v>
      </c>
      <c r="AM39">
        <v>0.68779500000000005</v>
      </c>
      <c r="AN39">
        <v>0.64444000000000001</v>
      </c>
      <c r="AO39">
        <v>0.87177800000000005</v>
      </c>
      <c r="AP39">
        <v>0.65603100000000003</v>
      </c>
      <c r="AQ39">
        <v>0.58112200000000003</v>
      </c>
      <c r="AR39">
        <v>0.78700599999999998</v>
      </c>
      <c r="AS39">
        <v>0.68940000000000001</v>
      </c>
      <c r="AT39">
        <v>0.82425999999999999</v>
      </c>
    </row>
    <row r="40" spans="1:56" x14ac:dyDescent="0.25">
      <c r="A40" t="s">
        <v>10</v>
      </c>
      <c r="B40" t="s">
        <v>7</v>
      </c>
      <c r="C40" t="s">
        <v>11</v>
      </c>
      <c r="D40" t="s">
        <v>12</v>
      </c>
      <c r="E40" t="str">
        <f t="shared" si="1"/>
        <v>LV Trace_Heart Rate (BPM)</v>
      </c>
      <c r="F40"/>
      <c r="G40" t="s">
        <v>147</v>
      </c>
      <c r="H40">
        <v>436.41653500000001</v>
      </c>
      <c r="I40">
        <v>384.48393700000003</v>
      </c>
      <c r="J40">
        <v>414.05962499999998</v>
      </c>
      <c r="K40">
        <v>408.07073200000002</v>
      </c>
      <c r="L40">
        <v>580.49535600000002</v>
      </c>
      <c r="M40">
        <v>558.03571399999998</v>
      </c>
      <c r="N40">
        <v>576.34119399999997</v>
      </c>
      <c r="O40">
        <v>587.77429500000005</v>
      </c>
      <c r="P40">
        <v>548.24561400000005</v>
      </c>
      <c r="Q40">
        <v>597.63583600000004</v>
      </c>
      <c r="R40">
        <v>624.73969199999999</v>
      </c>
      <c r="S40">
        <v>533.92658500000005</v>
      </c>
      <c r="T40">
        <v>570.25186099999996</v>
      </c>
      <c r="U40">
        <v>520.71279800000002</v>
      </c>
      <c r="W40">
        <v>435.82049599999999</v>
      </c>
      <c r="X40">
        <v>524.17006400000002</v>
      </c>
      <c r="Y40">
        <v>446.42857099999998</v>
      </c>
      <c r="Z40">
        <v>432.90043300000002</v>
      </c>
      <c r="AA40">
        <v>515.71498199999996</v>
      </c>
      <c r="AB40">
        <v>432.56752899999998</v>
      </c>
      <c r="AC40">
        <v>482.98808600000001</v>
      </c>
      <c r="AD40">
        <v>396.23365999999999</v>
      </c>
      <c r="AE40">
        <v>648.23984900000005</v>
      </c>
      <c r="AF40">
        <v>506.07287400000001</v>
      </c>
      <c r="AG40">
        <v>501.42767600000002</v>
      </c>
      <c r="AH40">
        <v>518.94136000000003</v>
      </c>
      <c r="AI40">
        <v>615.91103499999997</v>
      </c>
      <c r="AJ40">
        <v>604.89968699999997</v>
      </c>
      <c r="AK40">
        <v>541.71180900000002</v>
      </c>
      <c r="AL40">
        <v>597.70878300000004</v>
      </c>
      <c r="AM40">
        <v>614.34495500000003</v>
      </c>
      <c r="AN40">
        <v>596.50053000000003</v>
      </c>
      <c r="AO40">
        <v>525.77771299999995</v>
      </c>
      <c r="AP40">
        <v>501.113586</v>
      </c>
      <c r="AQ40">
        <v>621.04657799999995</v>
      </c>
      <c r="AR40">
        <v>576.98472100000004</v>
      </c>
      <c r="AS40">
        <v>618.42918999999995</v>
      </c>
      <c r="AT40">
        <v>541.744417</v>
      </c>
    </row>
    <row r="41" spans="1:56" x14ac:dyDescent="0.25">
      <c r="A41" t="s">
        <v>10</v>
      </c>
      <c r="B41" t="s">
        <v>7</v>
      </c>
      <c r="C41" t="s">
        <v>13</v>
      </c>
      <c r="D41" t="s">
        <v>5</v>
      </c>
      <c r="E41" t="str">
        <f t="shared" si="1"/>
        <v>LV Trace_Diameter;s (mm)</v>
      </c>
      <c r="F41"/>
      <c r="G41" t="s">
        <v>148</v>
      </c>
      <c r="H41">
        <v>2.5281090000000002</v>
      </c>
      <c r="I41">
        <v>2.8700450000000002</v>
      </c>
      <c r="J41">
        <v>2.538958</v>
      </c>
      <c r="K41">
        <v>2.4886810000000001</v>
      </c>
      <c r="L41">
        <v>3.8949220000000002</v>
      </c>
      <c r="M41">
        <v>4.1991630000000004</v>
      </c>
      <c r="N41">
        <v>3.8699669999999999</v>
      </c>
      <c r="O41">
        <v>3.1270549999999999</v>
      </c>
      <c r="P41">
        <v>4.1634390000000003</v>
      </c>
      <c r="Q41">
        <v>4.6640199999999998</v>
      </c>
      <c r="R41">
        <v>3.5352420000000002</v>
      </c>
      <c r="S41">
        <v>4.693886</v>
      </c>
      <c r="T41">
        <v>5.8767639999999997</v>
      </c>
      <c r="U41">
        <v>4.0974009999999996</v>
      </c>
      <c r="W41">
        <v>2.7535400000000001</v>
      </c>
      <c r="X41">
        <v>3.199767</v>
      </c>
      <c r="Y41">
        <v>3.1960000000000002</v>
      </c>
      <c r="Z41">
        <v>3.698518</v>
      </c>
      <c r="AA41">
        <v>4.5943560000000003</v>
      </c>
      <c r="AB41">
        <v>4.4076599999999999</v>
      </c>
      <c r="AC41">
        <v>3.9081160000000001</v>
      </c>
      <c r="AD41">
        <v>6.8403169999999998</v>
      </c>
      <c r="AE41">
        <v>1.9562189999999999</v>
      </c>
      <c r="AF41">
        <v>2.7849430000000002</v>
      </c>
      <c r="AG41">
        <v>2.8927049999999999</v>
      </c>
      <c r="AH41">
        <v>2.6936870000000002</v>
      </c>
      <c r="AI41">
        <v>3.2754810000000001</v>
      </c>
      <c r="AJ41">
        <v>3.202124</v>
      </c>
      <c r="AK41">
        <v>3.8734069999999998</v>
      </c>
      <c r="AL41">
        <v>3.8819279999999998</v>
      </c>
      <c r="AM41">
        <v>4.8636109999999997</v>
      </c>
      <c r="AN41">
        <v>4.1791140000000002</v>
      </c>
      <c r="AO41">
        <v>5.0414440000000003</v>
      </c>
      <c r="AP41">
        <v>5.3898840000000003</v>
      </c>
      <c r="AQ41">
        <v>4.9998699999999996</v>
      </c>
      <c r="AR41">
        <v>4.2546059999999999</v>
      </c>
      <c r="AS41">
        <v>4.7905699999999998</v>
      </c>
      <c r="AT41">
        <v>5.515307</v>
      </c>
    </row>
    <row r="42" spans="1:56" x14ac:dyDescent="0.25">
      <c r="A42" t="s">
        <v>10</v>
      </c>
      <c r="B42" t="s">
        <v>7</v>
      </c>
      <c r="C42" t="s">
        <v>14</v>
      </c>
      <c r="D42" t="s">
        <v>5</v>
      </c>
      <c r="E42" t="str">
        <f t="shared" si="1"/>
        <v>LV Trace_Diameter;d (mm)</v>
      </c>
      <c r="F42"/>
      <c r="G42" t="s">
        <v>149</v>
      </c>
      <c r="H42">
        <v>3.8696920000000001</v>
      </c>
      <c r="I42">
        <v>3.9600780000000002</v>
      </c>
      <c r="J42">
        <v>3.656936</v>
      </c>
      <c r="K42">
        <v>3.7238519999999999</v>
      </c>
      <c r="L42">
        <v>4.3164939999999996</v>
      </c>
      <c r="M42">
        <v>4.7039749999999998</v>
      </c>
      <c r="N42">
        <v>4.5197520000000004</v>
      </c>
      <c r="O42">
        <v>3.729501</v>
      </c>
      <c r="P42">
        <v>4.8398519999999996</v>
      </c>
      <c r="Q42">
        <v>5.1260250000000003</v>
      </c>
      <c r="R42">
        <v>4.5484939999999998</v>
      </c>
      <c r="S42">
        <v>5.3266710000000002</v>
      </c>
      <c r="T42">
        <v>6.1706139999999996</v>
      </c>
      <c r="U42">
        <v>4.9002910000000002</v>
      </c>
      <c r="W42">
        <v>3.9669759999999998</v>
      </c>
      <c r="X42">
        <v>4.5446239999999998</v>
      </c>
      <c r="Y42">
        <v>3.960995</v>
      </c>
      <c r="Z42">
        <v>4.1313950000000004</v>
      </c>
      <c r="AA42">
        <v>5.1487369999999997</v>
      </c>
      <c r="AB42">
        <v>4.9586220000000001</v>
      </c>
      <c r="AC42">
        <v>4.368989</v>
      </c>
      <c r="AD42">
        <v>7.1836219999999997</v>
      </c>
      <c r="AE42">
        <v>3.440131</v>
      </c>
      <c r="AF42">
        <v>4.0397299999999996</v>
      </c>
      <c r="AG42">
        <v>4.0896509999999999</v>
      </c>
      <c r="AH42">
        <v>4.0120649999999998</v>
      </c>
      <c r="AI42">
        <v>3.917052</v>
      </c>
      <c r="AJ42">
        <v>4.0590109999999999</v>
      </c>
      <c r="AK42">
        <v>4.4989939999999997</v>
      </c>
      <c r="AL42">
        <v>4.3504269999999998</v>
      </c>
      <c r="AM42">
        <v>5.1495980000000001</v>
      </c>
      <c r="AN42">
        <v>4.671881</v>
      </c>
      <c r="AO42">
        <v>5.396236</v>
      </c>
      <c r="AP42">
        <v>5.6000040000000002</v>
      </c>
      <c r="AQ42">
        <v>5.4442849999999998</v>
      </c>
      <c r="AR42">
        <v>5.0182390000000003</v>
      </c>
      <c r="AS42">
        <v>5.21366</v>
      </c>
      <c r="AT42">
        <v>5.9682399999999998</v>
      </c>
    </row>
    <row r="43" spans="1:56" x14ac:dyDescent="0.25">
      <c r="A43" t="s">
        <v>10</v>
      </c>
      <c r="B43" t="s">
        <v>7</v>
      </c>
      <c r="C43" t="s">
        <v>15</v>
      </c>
      <c r="D43" t="s">
        <v>16</v>
      </c>
      <c r="E43" t="str">
        <f t="shared" si="1"/>
        <v>LV Trace_Volume;s (uL)</v>
      </c>
      <c r="F43"/>
      <c r="G43" t="s">
        <v>150</v>
      </c>
      <c r="H43">
        <v>22.963771999999999</v>
      </c>
      <c r="I43">
        <v>31.405269000000001</v>
      </c>
      <c r="J43">
        <v>23.198169</v>
      </c>
      <c r="K43">
        <v>22.073425</v>
      </c>
      <c r="L43">
        <v>65.720782</v>
      </c>
      <c r="M43">
        <v>78.541749999999993</v>
      </c>
      <c r="N43">
        <v>64.710077999999996</v>
      </c>
      <c r="O43">
        <v>38.727832999999997</v>
      </c>
      <c r="P43">
        <v>76.983296999999993</v>
      </c>
      <c r="Q43">
        <v>100.628012</v>
      </c>
      <c r="R43">
        <v>52.121673999999999</v>
      </c>
      <c r="S43">
        <v>102.049643</v>
      </c>
      <c r="T43">
        <v>171.655101</v>
      </c>
      <c r="U43">
        <v>74.178325000000001</v>
      </c>
      <c r="W43">
        <v>28.362521999999998</v>
      </c>
      <c r="X43">
        <v>40.958351999999998</v>
      </c>
      <c r="Y43">
        <v>40.863095999999999</v>
      </c>
      <c r="Z43">
        <v>58.085329000000002</v>
      </c>
      <c r="AA43">
        <v>97.056765999999996</v>
      </c>
      <c r="AB43">
        <v>88.092298999999997</v>
      </c>
      <c r="AC43">
        <v>66.236994999999993</v>
      </c>
      <c r="AD43">
        <v>242.46921599999999</v>
      </c>
      <c r="AE43">
        <v>12.055941000000001</v>
      </c>
      <c r="AF43">
        <v>29.164787</v>
      </c>
      <c r="AG43">
        <v>32.014570999999997</v>
      </c>
      <c r="AH43">
        <v>26.860088999999999</v>
      </c>
      <c r="AI43">
        <v>43.386104000000003</v>
      </c>
      <c r="AJ43">
        <v>41.148466999999997</v>
      </c>
      <c r="AK43">
        <v>64.846478000000005</v>
      </c>
      <c r="AL43">
        <v>65.224734999999995</v>
      </c>
      <c r="AM43">
        <v>110.889251</v>
      </c>
      <c r="AN43">
        <v>77.657559000000006</v>
      </c>
      <c r="AO43">
        <v>120.54021400000001</v>
      </c>
      <c r="AP43">
        <v>140.70384999999999</v>
      </c>
      <c r="AQ43">
        <v>118.236491</v>
      </c>
      <c r="AR43">
        <v>81.018904000000006</v>
      </c>
      <c r="AS43">
        <v>107.03134300000001</v>
      </c>
      <c r="AT43">
        <v>148.38194799999999</v>
      </c>
    </row>
    <row r="44" spans="1:56" x14ac:dyDescent="0.25">
      <c r="A44" t="s">
        <v>10</v>
      </c>
      <c r="B44" t="s">
        <v>7</v>
      </c>
      <c r="C44" t="s">
        <v>17</v>
      </c>
      <c r="D44" t="s">
        <v>16</v>
      </c>
      <c r="E44" t="str">
        <f t="shared" si="1"/>
        <v>LV Trace_Volume;d (uL)</v>
      </c>
      <c r="F44"/>
      <c r="G44" t="s">
        <v>151</v>
      </c>
      <c r="H44">
        <v>64.699748999999997</v>
      </c>
      <c r="I44">
        <v>68.358653000000004</v>
      </c>
      <c r="J44">
        <v>56.546937999999997</v>
      </c>
      <c r="K44">
        <v>59.030662999999997</v>
      </c>
      <c r="L44">
        <v>83.824719000000002</v>
      </c>
      <c r="M44">
        <v>102.56372500000001</v>
      </c>
      <c r="N44">
        <v>93.407920000000004</v>
      </c>
      <c r="O44">
        <v>59.241782999999998</v>
      </c>
      <c r="P44">
        <v>109.619935</v>
      </c>
      <c r="Q44">
        <v>125.463491</v>
      </c>
      <c r="R44">
        <v>94.801231000000001</v>
      </c>
      <c r="S44">
        <v>136.92230000000001</v>
      </c>
      <c r="T44">
        <v>191.90149299999999</v>
      </c>
      <c r="U44">
        <v>112.83581</v>
      </c>
      <c r="V44" s="9"/>
      <c r="W44">
        <v>68.659914000000001</v>
      </c>
      <c r="X44">
        <v>94.612717000000004</v>
      </c>
      <c r="Y44">
        <v>68.398905999999997</v>
      </c>
      <c r="Z44">
        <v>75.575721999999999</v>
      </c>
      <c r="AA44">
        <v>126.582048</v>
      </c>
      <c r="AB44">
        <v>115.981802</v>
      </c>
      <c r="AC44">
        <v>86.250690000000006</v>
      </c>
      <c r="AD44">
        <v>270.77354200000002</v>
      </c>
      <c r="AE44">
        <v>48.844541</v>
      </c>
      <c r="AF44">
        <v>71.754096000000004</v>
      </c>
      <c r="AG44">
        <v>73.782179999999997</v>
      </c>
      <c r="AH44">
        <v>70.509309999999999</v>
      </c>
      <c r="AI44">
        <v>66.602192000000002</v>
      </c>
      <c r="AJ44">
        <v>72.492761000000002</v>
      </c>
      <c r="AK44">
        <v>92.434962999999996</v>
      </c>
      <c r="AL44">
        <v>85.417755</v>
      </c>
      <c r="AM44">
        <v>126.626715</v>
      </c>
      <c r="AN44">
        <v>100.936065</v>
      </c>
      <c r="AO44">
        <v>141.08759699999999</v>
      </c>
      <c r="AP44">
        <v>153.68902</v>
      </c>
      <c r="AQ44">
        <v>144.00569300000001</v>
      </c>
      <c r="AR44">
        <v>119.25577800000001</v>
      </c>
      <c r="AS44">
        <v>130.32717</v>
      </c>
      <c r="AT44">
        <v>177.831006</v>
      </c>
    </row>
    <row r="45" spans="1:56" x14ac:dyDescent="0.25">
      <c r="A45" t="s">
        <v>10</v>
      </c>
      <c r="B45" t="s">
        <v>7</v>
      </c>
      <c r="C45" t="s">
        <v>18</v>
      </c>
      <c r="D45" t="s">
        <v>16</v>
      </c>
      <c r="E45" t="str">
        <f t="shared" si="1"/>
        <v>LV Trace_Stroke Volume (uL)</v>
      </c>
      <c r="F45"/>
      <c r="G45" t="s">
        <v>152</v>
      </c>
      <c r="H45">
        <v>41.735976999999998</v>
      </c>
      <c r="I45">
        <v>36.953384999999997</v>
      </c>
      <c r="J45">
        <v>33.348768999999997</v>
      </c>
      <c r="K45">
        <v>36.957237999999997</v>
      </c>
      <c r="L45">
        <v>18.103936999999998</v>
      </c>
      <c r="M45">
        <v>24.021975000000001</v>
      </c>
      <c r="N45">
        <v>28.697842000000001</v>
      </c>
      <c r="O45">
        <v>20.513950000000001</v>
      </c>
      <c r="P45">
        <v>32.636637</v>
      </c>
      <c r="Q45">
        <v>24.835478999999999</v>
      </c>
      <c r="R45">
        <v>42.679557000000003</v>
      </c>
      <c r="S45">
        <v>34.872656999999997</v>
      </c>
      <c r="T45">
        <v>20.246392</v>
      </c>
      <c r="U45">
        <v>38.657485000000001</v>
      </c>
      <c r="V45" s="9"/>
      <c r="W45">
        <v>40.297392000000002</v>
      </c>
      <c r="X45">
        <v>53.654364999999999</v>
      </c>
      <c r="Y45">
        <v>27.535810000000001</v>
      </c>
      <c r="Z45">
        <v>17.490393999999998</v>
      </c>
      <c r="AA45">
        <v>29.525282000000001</v>
      </c>
      <c r="AB45">
        <v>27.889503000000001</v>
      </c>
      <c r="AC45">
        <v>20.013694000000001</v>
      </c>
      <c r="AD45">
        <v>28.304324999999999</v>
      </c>
      <c r="AE45">
        <v>36.788600000000002</v>
      </c>
      <c r="AF45">
        <v>42.589309999999998</v>
      </c>
      <c r="AG45">
        <v>41.767609</v>
      </c>
      <c r="AH45">
        <v>43.649220999999997</v>
      </c>
      <c r="AI45">
        <v>23.216089</v>
      </c>
      <c r="AJ45">
        <v>31.344293</v>
      </c>
      <c r="AK45">
        <v>27.588486</v>
      </c>
      <c r="AL45">
        <v>20.193020000000001</v>
      </c>
      <c r="AM45">
        <v>15.737463999999999</v>
      </c>
      <c r="AN45">
        <v>23.278506</v>
      </c>
      <c r="AO45">
        <v>20.547384000000001</v>
      </c>
      <c r="AP45">
        <v>12.98517</v>
      </c>
      <c r="AQ45">
        <v>25.769202</v>
      </c>
      <c r="AR45">
        <v>38.236874</v>
      </c>
      <c r="AS45">
        <v>23.295828</v>
      </c>
      <c r="AT45">
        <v>29.449058000000001</v>
      </c>
    </row>
    <row r="46" spans="1:56" x14ac:dyDescent="0.25">
      <c r="A46" t="s">
        <v>10</v>
      </c>
      <c r="B46" t="s">
        <v>7</v>
      </c>
      <c r="C46" t="s">
        <v>19</v>
      </c>
      <c r="D46" t="s">
        <v>2</v>
      </c>
      <c r="E46" t="str">
        <f t="shared" si="1"/>
        <v>LV Trace_Ejection Fraction (%)</v>
      </c>
      <c r="F46"/>
      <c r="G46" t="s">
        <v>153</v>
      </c>
      <c r="H46">
        <v>64.507170000000002</v>
      </c>
      <c r="I46">
        <v>54.058093999999997</v>
      </c>
      <c r="J46">
        <v>58.975375</v>
      </c>
      <c r="K46">
        <v>62.606848999999997</v>
      </c>
      <c r="L46">
        <v>21.597373000000001</v>
      </c>
      <c r="M46">
        <v>23.421512</v>
      </c>
      <c r="N46">
        <v>30.723136</v>
      </c>
      <c r="O46">
        <v>34.627502999999997</v>
      </c>
      <c r="P46">
        <v>29.772538999999998</v>
      </c>
      <c r="Q46">
        <v>19.648002999999999</v>
      </c>
      <c r="R46">
        <v>45.020045000000003</v>
      </c>
      <c r="S46">
        <v>25.468938999999999</v>
      </c>
      <c r="T46">
        <v>10.550409</v>
      </c>
      <c r="U46">
        <v>34.259943999999997</v>
      </c>
      <c r="V46" s="9"/>
      <c r="W46">
        <v>58.688997000000001</v>
      </c>
      <c r="X46">
        <v>56.709463999999997</v>
      </c>
      <c r="Y46">
        <v>40.257675999999996</v>
      </c>
      <c r="Z46">
        <v>23.142873000000002</v>
      </c>
      <c r="AA46">
        <v>23.325015</v>
      </c>
      <c r="AB46">
        <v>24.046447000000001</v>
      </c>
      <c r="AC46">
        <v>23.204097999999998</v>
      </c>
      <c r="AD46">
        <v>10.455296000000001</v>
      </c>
      <c r="AE46">
        <v>75.317730999999995</v>
      </c>
      <c r="AF46">
        <v>59.354534000000001</v>
      </c>
      <c r="AG46">
        <v>56.609346000000002</v>
      </c>
      <c r="AH46">
        <v>61.905614</v>
      </c>
      <c r="AI46">
        <v>34.857844999999998</v>
      </c>
      <c r="AJ46">
        <v>43.237825000000001</v>
      </c>
      <c r="AK46">
        <v>29.846374999999998</v>
      </c>
      <c r="AL46">
        <v>23.640307</v>
      </c>
      <c r="AM46">
        <v>12.428234</v>
      </c>
      <c r="AN46">
        <v>23.062625000000001</v>
      </c>
      <c r="AO46">
        <v>14.563565000000001</v>
      </c>
      <c r="AP46">
        <v>8.4489900000000002</v>
      </c>
      <c r="AQ46">
        <v>17.894570999999999</v>
      </c>
      <c r="AR46">
        <v>32.062911</v>
      </c>
      <c r="AS46">
        <v>17.874881999999999</v>
      </c>
      <c r="AT46">
        <v>16.560137000000001</v>
      </c>
    </row>
    <row r="47" spans="1:56" x14ac:dyDescent="0.25">
      <c r="A47" t="s">
        <v>10</v>
      </c>
      <c r="B47" t="s">
        <v>7</v>
      </c>
      <c r="C47" t="s">
        <v>20</v>
      </c>
      <c r="D47" t="s">
        <v>2</v>
      </c>
      <c r="E47" t="str">
        <f t="shared" si="1"/>
        <v>LV Trace_Fractional Shortening (%)</v>
      </c>
      <c r="F47"/>
      <c r="G47" t="s">
        <v>154</v>
      </c>
      <c r="H47">
        <v>34.668973000000001</v>
      </c>
      <c r="I47">
        <v>27.525538999999998</v>
      </c>
      <c r="J47">
        <v>30.571449999999999</v>
      </c>
      <c r="K47">
        <v>33.169189000000003</v>
      </c>
      <c r="L47">
        <v>9.7665380000000006</v>
      </c>
      <c r="M47">
        <v>10.731608</v>
      </c>
      <c r="N47">
        <v>14.37656</v>
      </c>
      <c r="O47">
        <v>16.153523</v>
      </c>
      <c r="P47">
        <v>13.975906999999999</v>
      </c>
      <c r="Q47">
        <v>8.9813869999999998</v>
      </c>
      <c r="R47">
        <v>22.27666</v>
      </c>
      <c r="S47">
        <v>11.879552</v>
      </c>
      <c r="T47">
        <v>4.7620870000000002</v>
      </c>
      <c r="U47">
        <v>16.384536000000001</v>
      </c>
      <c r="V47" s="9"/>
      <c r="W47">
        <v>30.58764</v>
      </c>
      <c r="X47">
        <v>29.592272000000001</v>
      </c>
      <c r="Y47">
        <v>19.313199000000001</v>
      </c>
      <c r="Z47">
        <v>10.477736999999999</v>
      </c>
      <c r="AA47">
        <v>10.767312</v>
      </c>
      <c r="AB47">
        <v>11.111202</v>
      </c>
      <c r="AC47">
        <v>10.548745</v>
      </c>
      <c r="AD47">
        <v>4.7794429999999997</v>
      </c>
      <c r="AE47">
        <v>43.135331999999998</v>
      </c>
      <c r="AF47">
        <v>31.061169</v>
      </c>
      <c r="AG47">
        <v>29.267685</v>
      </c>
      <c r="AH47">
        <v>32.860331000000002</v>
      </c>
      <c r="AI47">
        <v>16.378916</v>
      </c>
      <c r="AJ47">
        <v>21.110738000000001</v>
      </c>
      <c r="AK47">
        <v>13.905044</v>
      </c>
      <c r="AL47">
        <v>10.76904</v>
      </c>
      <c r="AM47">
        <v>5.5535750000000004</v>
      </c>
      <c r="AN47">
        <v>10.547508000000001</v>
      </c>
      <c r="AO47">
        <v>6.5747960000000001</v>
      </c>
      <c r="AP47">
        <v>3.752132</v>
      </c>
      <c r="AQ47">
        <v>8.1629640000000006</v>
      </c>
      <c r="AR47">
        <v>15.217155999999999</v>
      </c>
      <c r="AS47">
        <v>8.1150169999999999</v>
      </c>
      <c r="AT47">
        <v>7.5890630000000003</v>
      </c>
    </row>
    <row r="48" spans="1:56" x14ac:dyDescent="0.25">
      <c r="A48" t="s">
        <v>10</v>
      </c>
      <c r="B48" t="s">
        <v>7</v>
      </c>
      <c r="C48" t="s">
        <v>21</v>
      </c>
      <c r="D48" t="s">
        <v>22</v>
      </c>
      <c r="E48" t="str">
        <f t="shared" si="1"/>
        <v>LV Trace_Cardiac Output (mL/min)</v>
      </c>
      <c r="F48"/>
      <c r="G48" t="s">
        <v>155</v>
      </c>
      <c r="H48">
        <v>18.214269999999999</v>
      </c>
      <c r="I48">
        <v>14.207983</v>
      </c>
      <c r="J48">
        <v>13.808379</v>
      </c>
      <c r="K48">
        <v>15.081167000000001</v>
      </c>
      <c r="L48">
        <v>10.509252</v>
      </c>
      <c r="M48">
        <v>13.40512</v>
      </c>
      <c r="N48">
        <v>16.539747999999999</v>
      </c>
      <c r="O48">
        <v>12.057573</v>
      </c>
      <c r="P48">
        <v>17.892893000000001</v>
      </c>
      <c r="Q48">
        <v>15.029415</v>
      </c>
      <c r="R48">
        <v>26.663613000000002</v>
      </c>
      <c r="S48">
        <v>18.619439</v>
      </c>
      <c r="T48">
        <v>11.545543</v>
      </c>
      <c r="U48">
        <v>20.129446999999999</v>
      </c>
      <c r="V48" s="9"/>
      <c r="W48">
        <v>17.565684999999998</v>
      </c>
      <c r="X48">
        <v>28.124012</v>
      </c>
      <c r="Y48">
        <v>12.292771999999999</v>
      </c>
      <c r="Z48">
        <v>7.571599</v>
      </c>
      <c r="AA48">
        <v>15.22663</v>
      </c>
      <c r="AB48">
        <v>12.064093</v>
      </c>
      <c r="AC48">
        <v>9.6663759999999996</v>
      </c>
      <c r="AD48">
        <v>11.232199</v>
      </c>
      <c r="AE48">
        <v>23.847836999999998</v>
      </c>
      <c r="AF48">
        <v>21.553294000000001</v>
      </c>
      <c r="AG48">
        <v>20.943435000000001</v>
      </c>
      <c r="AH48">
        <v>22.651385999999999</v>
      </c>
      <c r="AI48">
        <v>14.299045</v>
      </c>
      <c r="AJ48">
        <v>18.960152999999998</v>
      </c>
      <c r="AK48">
        <v>14.945008</v>
      </c>
      <c r="AL48">
        <v>12.069545</v>
      </c>
      <c r="AM48">
        <v>9.6682319999999997</v>
      </c>
      <c r="AN48">
        <v>13.885641</v>
      </c>
      <c r="AO48">
        <v>10.803356000000001</v>
      </c>
      <c r="AP48">
        <v>6.5070449999999997</v>
      </c>
      <c r="AQ48">
        <v>16.003874</v>
      </c>
      <c r="AR48">
        <v>22.062092</v>
      </c>
      <c r="AS48">
        <v>14.40682</v>
      </c>
      <c r="AT48">
        <v>15.953863</v>
      </c>
    </row>
    <row r="49" spans="1:56" x14ac:dyDescent="0.25">
      <c r="A49" t="s">
        <v>23</v>
      </c>
      <c r="B49" t="s">
        <v>7</v>
      </c>
      <c r="C49" t="s">
        <v>8</v>
      </c>
      <c r="D49" t="s">
        <v>5</v>
      </c>
      <c r="E49" t="str">
        <f t="shared" si="1"/>
        <v>LVID;d_Depth (mm)</v>
      </c>
      <c r="F49" t="s">
        <v>158</v>
      </c>
      <c r="G49" t="s">
        <v>191</v>
      </c>
      <c r="H49">
        <v>3.7043729999999999</v>
      </c>
      <c r="I49">
        <v>3.9937499999999999</v>
      </c>
      <c r="J49">
        <v>3.6312720000000001</v>
      </c>
      <c r="K49">
        <v>3.68181</v>
      </c>
      <c r="L49">
        <v>4.37</v>
      </c>
      <c r="M49">
        <v>4.7164999999999999</v>
      </c>
      <c r="N49">
        <v>4.3992009999999997</v>
      </c>
      <c r="O49">
        <v>3.683125</v>
      </c>
      <c r="P49">
        <v>4.9239179999999996</v>
      </c>
      <c r="Q49">
        <v>5.0143599999999999</v>
      </c>
      <c r="R49">
        <v>4.4272580000000001</v>
      </c>
      <c r="S49">
        <v>5.3462500000000004</v>
      </c>
      <c r="T49">
        <v>6.182169</v>
      </c>
      <c r="U49">
        <v>4.7241860000000004</v>
      </c>
      <c r="V49">
        <v>4.3711679999999999</v>
      </c>
      <c r="W49">
        <v>3.9473959999999999</v>
      </c>
      <c r="X49">
        <v>4.5354179999999999</v>
      </c>
      <c r="Y49">
        <v>4.2037500000000003</v>
      </c>
      <c r="Z49">
        <v>4.2066949999999999</v>
      </c>
      <c r="AA49">
        <v>4.3497620000000001</v>
      </c>
      <c r="AB49">
        <v>4.9987500000000002</v>
      </c>
      <c r="AC49">
        <v>4.3068540000000004</v>
      </c>
      <c r="AD49">
        <v>6.99</v>
      </c>
      <c r="AE49">
        <v>3.6395529999999998</v>
      </c>
      <c r="AF49">
        <v>3.8959519999999999</v>
      </c>
      <c r="AG49">
        <v>4.029185</v>
      </c>
      <c r="AH49">
        <v>3.9415390000000001</v>
      </c>
      <c r="AI49">
        <v>4.0209029999999997</v>
      </c>
      <c r="AJ49">
        <v>4.1602360000000003</v>
      </c>
      <c r="AK49">
        <v>4.6534190000000004</v>
      </c>
      <c r="AL49">
        <v>4.4544360000000003</v>
      </c>
      <c r="AM49">
        <v>5.1584640000000004</v>
      </c>
      <c r="AN49">
        <v>4.7688550000000003</v>
      </c>
      <c r="AO49">
        <v>5.3801170000000003</v>
      </c>
      <c r="AP49">
        <v>5.5561769999999999</v>
      </c>
      <c r="AQ49">
        <v>5.387772</v>
      </c>
      <c r="AR49">
        <v>5.31229</v>
      </c>
      <c r="AS49">
        <v>5.1637409999999999</v>
      </c>
      <c r="AT49">
        <v>6.7029449999999997</v>
      </c>
    </row>
    <row r="50" spans="1:56" x14ac:dyDescent="0.25">
      <c r="A50" t="s">
        <v>24</v>
      </c>
      <c r="B50" t="s">
        <v>7</v>
      </c>
      <c r="C50" t="s">
        <v>8</v>
      </c>
      <c r="D50" t="s">
        <v>5</v>
      </c>
      <c r="E50" t="str">
        <f t="shared" si="1"/>
        <v>LVID;s_Depth (mm)</v>
      </c>
      <c r="F50" t="s">
        <v>159</v>
      </c>
      <c r="G50" t="s">
        <v>192</v>
      </c>
      <c r="H50">
        <v>2.4452509999999998</v>
      </c>
      <c r="I50">
        <v>2.973125</v>
      </c>
      <c r="J50">
        <v>2.5666060000000002</v>
      </c>
      <c r="K50">
        <v>2.5129809999999999</v>
      </c>
      <c r="L50">
        <v>3.9187500000000002</v>
      </c>
      <c r="M50">
        <v>4.2125450000000004</v>
      </c>
      <c r="N50">
        <v>3.7440009999999999</v>
      </c>
      <c r="O50">
        <v>3.172812</v>
      </c>
      <c r="P50">
        <v>4.2637280000000004</v>
      </c>
      <c r="Q50">
        <v>4.6015649999999999</v>
      </c>
      <c r="R50">
        <v>3.4827759999999999</v>
      </c>
      <c r="S50">
        <v>4.7490620000000003</v>
      </c>
      <c r="T50">
        <v>5.9239810000000004</v>
      </c>
      <c r="U50">
        <v>4.0563690000000001</v>
      </c>
      <c r="V50">
        <v>2.9301240000000002</v>
      </c>
      <c r="W50">
        <v>2.8369789999999999</v>
      </c>
      <c r="X50">
        <v>3.3006440000000001</v>
      </c>
      <c r="Y50">
        <v>3.3725000000000001</v>
      </c>
      <c r="Z50">
        <v>3.7058979999999999</v>
      </c>
      <c r="AA50">
        <v>3.7836970000000001</v>
      </c>
      <c r="AB50">
        <v>4.3537499999999998</v>
      </c>
      <c r="AC50">
        <v>3.7810169999999999</v>
      </c>
      <c r="AD50">
        <v>6.72</v>
      </c>
      <c r="AE50">
        <v>2.206963</v>
      </c>
      <c r="AF50">
        <v>2.748678</v>
      </c>
      <c r="AG50">
        <v>2.8882680000000001</v>
      </c>
      <c r="AH50">
        <v>2.7138460000000002</v>
      </c>
      <c r="AI50">
        <v>3.1707689999999999</v>
      </c>
      <c r="AJ50">
        <v>3.0324610000000001</v>
      </c>
      <c r="AK50">
        <v>4.0361289999999999</v>
      </c>
      <c r="AL50">
        <v>4.0115970000000001</v>
      </c>
      <c r="AM50">
        <v>4.8277939999999999</v>
      </c>
      <c r="AN50">
        <v>4.1244149999999999</v>
      </c>
      <c r="AO50">
        <v>5.0812220000000003</v>
      </c>
      <c r="AP50">
        <v>5.4089049999999999</v>
      </c>
      <c r="AQ50">
        <v>4.9846750000000002</v>
      </c>
      <c r="AR50">
        <v>4.7501429999999996</v>
      </c>
      <c r="AS50">
        <v>4.785247</v>
      </c>
      <c r="AT50">
        <v>6.2363819999999999</v>
      </c>
    </row>
    <row r="51" spans="1:56" x14ac:dyDescent="0.25">
      <c r="A51" t="s">
        <v>25</v>
      </c>
      <c r="B51" t="s">
        <v>7</v>
      </c>
      <c r="C51" t="s">
        <v>8</v>
      </c>
      <c r="D51" t="s">
        <v>5</v>
      </c>
      <c r="E51" t="str">
        <f t="shared" si="1"/>
        <v>LVPW;d_Depth (mm)</v>
      </c>
      <c r="F51" t="s">
        <v>160</v>
      </c>
      <c r="G51" t="s">
        <v>193</v>
      </c>
      <c r="H51">
        <v>0.80291800000000002</v>
      </c>
      <c r="I51">
        <v>0.77656199999999997</v>
      </c>
      <c r="J51">
        <v>0.74146400000000001</v>
      </c>
      <c r="K51">
        <v>0.72077800000000003</v>
      </c>
      <c r="L51">
        <v>0.90249999999999997</v>
      </c>
      <c r="M51">
        <v>0.83992500000000003</v>
      </c>
      <c r="N51">
        <v>1.0296000000000001</v>
      </c>
      <c r="O51">
        <v>0.97624999999999995</v>
      </c>
      <c r="P51">
        <v>0.99028499999999997</v>
      </c>
      <c r="Q51">
        <v>0.89934899999999995</v>
      </c>
      <c r="R51">
        <v>1.1806019999999999</v>
      </c>
      <c r="S51">
        <v>0.739375</v>
      </c>
      <c r="T51">
        <v>0.74587700000000001</v>
      </c>
      <c r="U51">
        <v>0.98935799999999996</v>
      </c>
      <c r="V51">
        <v>0.720522</v>
      </c>
      <c r="W51">
        <v>0.64322900000000005</v>
      </c>
      <c r="X51">
        <v>0.75986100000000001</v>
      </c>
      <c r="Y51">
        <v>0.83125000000000004</v>
      </c>
      <c r="Z51">
        <v>0.525837</v>
      </c>
      <c r="AA51">
        <v>0.77461500000000005</v>
      </c>
      <c r="AB51">
        <v>0.61812500000000004</v>
      </c>
      <c r="AC51">
        <v>0.70111599999999996</v>
      </c>
      <c r="AD51">
        <v>0.36</v>
      </c>
      <c r="AE51">
        <v>0.79373199999999999</v>
      </c>
      <c r="AF51">
        <v>0.81265299999999996</v>
      </c>
      <c r="AG51">
        <v>0.80172600000000005</v>
      </c>
      <c r="AH51">
        <v>0.77538499999999999</v>
      </c>
      <c r="AI51">
        <v>1.1718059999999999</v>
      </c>
      <c r="AJ51">
        <v>0.67666499999999996</v>
      </c>
      <c r="AK51">
        <v>0.59354799999999996</v>
      </c>
      <c r="AL51">
        <v>0.70333199999999996</v>
      </c>
      <c r="AM51">
        <v>0.46293899999999999</v>
      </c>
      <c r="AN51">
        <v>1.108436</v>
      </c>
      <c r="AO51">
        <v>0.24907899999999999</v>
      </c>
      <c r="AP51">
        <v>0.44181599999999999</v>
      </c>
      <c r="AQ51">
        <v>0.51944900000000005</v>
      </c>
      <c r="AR51">
        <v>0.67457699999999998</v>
      </c>
      <c r="AS51">
        <v>0.56774100000000005</v>
      </c>
      <c r="AT51">
        <v>0.55987500000000001</v>
      </c>
    </row>
    <row r="52" spans="1:56" x14ac:dyDescent="0.25">
      <c r="A52" t="s">
        <v>26</v>
      </c>
      <c r="B52" t="s">
        <v>7</v>
      </c>
      <c r="C52" t="s">
        <v>8</v>
      </c>
      <c r="D52" t="s">
        <v>5</v>
      </c>
      <c r="E52" t="str">
        <f t="shared" si="1"/>
        <v>LVPW;s_Depth (mm)</v>
      </c>
      <c r="F52" t="s">
        <v>161</v>
      </c>
      <c r="G52" t="s">
        <v>194</v>
      </c>
      <c r="H52">
        <v>1.094889</v>
      </c>
      <c r="I52">
        <v>0.88749999999999996</v>
      </c>
      <c r="J52">
        <v>1.0076309999999999</v>
      </c>
      <c r="K52">
        <v>1.0909070000000001</v>
      </c>
      <c r="L52">
        <v>0.97375</v>
      </c>
      <c r="M52">
        <v>0.87868999999999997</v>
      </c>
      <c r="N52">
        <v>1.0998000000000001</v>
      </c>
      <c r="O52">
        <v>1.0871869999999999</v>
      </c>
      <c r="P52">
        <v>1.2103489999999999</v>
      </c>
      <c r="Q52">
        <v>1.1634640000000001</v>
      </c>
      <c r="R52">
        <v>1.446237</v>
      </c>
      <c r="S52">
        <v>0.85312500000000002</v>
      </c>
      <c r="T52">
        <v>0.83193899999999998</v>
      </c>
      <c r="U52">
        <v>1.1130279999999999</v>
      </c>
      <c r="V52">
        <v>1.1768529999999999</v>
      </c>
      <c r="W52">
        <v>0.84635400000000005</v>
      </c>
      <c r="X52">
        <v>1.068554</v>
      </c>
      <c r="Y52">
        <v>0.95</v>
      </c>
      <c r="Z52">
        <v>0.65103599999999995</v>
      </c>
      <c r="AA52">
        <v>0.86399400000000004</v>
      </c>
      <c r="AB52">
        <v>0.64500000000000002</v>
      </c>
      <c r="AC52">
        <v>0.57591700000000001</v>
      </c>
      <c r="AD52">
        <v>0.39</v>
      </c>
      <c r="AE52">
        <v>1.2196370000000001</v>
      </c>
      <c r="AF52">
        <v>1.171176</v>
      </c>
      <c r="AG52">
        <v>1.0381320000000001</v>
      </c>
      <c r="AH52">
        <v>1.055385</v>
      </c>
      <c r="AI52">
        <v>1.4934780000000001</v>
      </c>
      <c r="AJ52">
        <v>1.127775</v>
      </c>
      <c r="AK52">
        <v>0.71225799999999995</v>
      </c>
      <c r="AL52">
        <v>0.52098699999999998</v>
      </c>
      <c r="AM52">
        <v>0.5423</v>
      </c>
      <c r="AN52">
        <v>1.3919900000000001</v>
      </c>
      <c r="AO52">
        <v>0.32380300000000001</v>
      </c>
      <c r="AP52">
        <v>0.53553499999999998</v>
      </c>
      <c r="AQ52">
        <v>0.677763</v>
      </c>
      <c r="AR52">
        <v>0.89943499999999998</v>
      </c>
      <c r="AS52">
        <v>0.58125899999999997</v>
      </c>
      <c r="AT52">
        <v>0.69984299999999999</v>
      </c>
    </row>
    <row r="53" spans="1:56" x14ac:dyDescent="0.25">
      <c r="D53"/>
      <c r="E53"/>
      <c r="F53"/>
      <c r="G53"/>
    </row>
    <row r="54" spans="1:56" s="5" customFormat="1" x14ac:dyDescent="0.25">
      <c r="A54" s="5" t="s">
        <v>97</v>
      </c>
      <c r="D54" s="8"/>
      <c r="E54" s="8"/>
      <c r="F54" s="8"/>
      <c r="G54" s="8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</row>
    <row r="55" spans="1:56" s="5" customFormat="1" x14ac:dyDescent="0.25">
      <c r="A55" s="5" t="s">
        <v>98</v>
      </c>
      <c r="D55" s="8"/>
      <c r="E55" s="8"/>
      <c r="F55" s="8"/>
      <c r="G55" s="8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1:56" s="5" customFormat="1" x14ac:dyDescent="0.25">
      <c r="A56" s="5" t="s">
        <v>99</v>
      </c>
      <c r="D56" s="8"/>
      <c r="E56" s="8"/>
      <c r="F56" s="8"/>
      <c r="G56" s="8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1:56" s="5" customFormat="1" x14ac:dyDescent="0.25">
      <c r="A57" s="5" t="s">
        <v>32</v>
      </c>
      <c r="D57" s="8"/>
      <c r="E57" s="8"/>
      <c r="F57" s="8"/>
      <c r="G57" s="8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1:56" s="5" customFormat="1" x14ac:dyDescent="0.25">
      <c r="A58" s="5" t="s">
        <v>100</v>
      </c>
      <c r="D58" s="8"/>
      <c r="E58" s="8"/>
      <c r="F58" s="8"/>
      <c r="G58" s="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1:56" s="5" customFormat="1" x14ac:dyDescent="0.25">
      <c r="A59" s="5" t="s">
        <v>101</v>
      </c>
      <c r="D59" s="8"/>
      <c r="E59" s="8"/>
      <c r="F59" s="8"/>
      <c r="G59" s="8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1:56" s="5" customFormat="1" x14ac:dyDescent="0.25">
      <c r="A60" s="5" t="s">
        <v>30</v>
      </c>
      <c r="D60" s="8"/>
      <c r="E60" s="8"/>
      <c r="F60" s="8"/>
      <c r="G60" s="8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1:56" s="5" customFormat="1" x14ac:dyDescent="0.25">
      <c r="A61" s="5" t="s">
        <v>102</v>
      </c>
      <c r="D61" s="8"/>
      <c r="E61" s="8"/>
      <c r="F61" s="8"/>
      <c r="G61" s="8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1:56" s="5" customFormat="1" x14ac:dyDescent="0.25">
      <c r="A62" s="5" t="s">
        <v>103</v>
      </c>
      <c r="D62" s="8"/>
      <c r="E62" s="8"/>
      <c r="F62" s="8"/>
      <c r="G62" s="8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1:56" s="5" customFormat="1" x14ac:dyDescent="0.25">
      <c r="A63" s="5" t="s">
        <v>104</v>
      </c>
      <c r="D63" s="8"/>
      <c r="E63" s="8"/>
      <c r="F63" s="8"/>
      <c r="G63" s="8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6" spans="1:56" s="2" customFormat="1" x14ac:dyDescent="0.25">
      <c r="A66" s="2" t="s">
        <v>105</v>
      </c>
      <c r="D66" s="3"/>
      <c r="E66" s="3"/>
      <c r="F66" s="3"/>
      <c r="G66" s="3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</row>
    <row r="67" spans="1:56" s="2" customFormat="1" x14ac:dyDescent="0.25">
      <c r="A67" s="2" t="s">
        <v>106</v>
      </c>
      <c r="D67" s="3"/>
      <c r="E67" s="3"/>
      <c r="F67" s="3"/>
      <c r="G67" s="3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</row>
    <row r="68" spans="1:56" s="2" customFormat="1" x14ac:dyDescent="0.25">
      <c r="A68" s="2" t="s">
        <v>107</v>
      </c>
      <c r="D68" s="3"/>
      <c r="E68" s="3"/>
      <c r="F68" s="3"/>
      <c r="G68" s="3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</row>
    <row r="69" spans="1:56" s="2" customFormat="1" x14ac:dyDescent="0.25">
      <c r="A69" s="2" t="s">
        <v>108</v>
      </c>
      <c r="D69" s="3"/>
      <c r="E69" s="3"/>
      <c r="F69" s="3"/>
      <c r="G69" s="3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</row>
    <row r="70" spans="1:56" s="2" customFormat="1" x14ac:dyDescent="0.25">
      <c r="A70" s="2" t="s">
        <v>104</v>
      </c>
      <c r="D70" s="3"/>
      <c r="E70" s="3"/>
      <c r="F70" s="3"/>
      <c r="G70" s="3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3" spans="1:56" x14ac:dyDescent="0.25">
      <c r="A73" t="s">
        <v>109</v>
      </c>
    </row>
    <row r="74" spans="1:56" x14ac:dyDescent="0.25">
      <c r="A74" t="s">
        <v>110</v>
      </c>
    </row>
    <row r="75" spans="1:56" x14ac:dyDescent="0.25">
      <c r="A75" t="s">
        <v>111</v>
      </c>
    </row>
    <row r="76" spans="1:56" x14ac:dyDescent="0.25">
      <c r="A76" t="s">
        <v>112</v>
      </c>
    </row>
    <row r="79" spans="1:56" x14ac:dyDescent="0.25">
      <c r="D79"/>
    </row>
    <row r="80" spans="1:56" x14ac:dyDescent="0.25">
      <c r="D80"/>
    </row>
    <row r="81" spans="5:7" customFormat="1" x14ac:dyDescent="0.25">
      <c r="E81" s="1"/>
      <c r="F81" s="1"/>
      <c r="G81" s="1"/>
    </row>
    <row r="82" spans="5:7" customFormat="1" x14ac:dyDescent="0.25">
      <c r="E82" s="1"/>
      <c r="F82" s="1"/>
      <c r="G82" s="1"/>
    </row>
    <row r="83" spans="5:7" customFormat="1" x14ac:dyDescent="0.25">
      <c r="E83" s="1"/>
      <c r="F83" s="1"/>
      <c r="G83" s="1"/>
    </row>
    <row r="84" spans="5:7" customFormat="1" x14ac:dyDescent="0.25">
      <c r="E84" s="1"/>
      <c r="F84" s="1"/>
      <c r="G84" s="1"/>
    </row>
    <row r="85" spans="5:7" customFormat="1" x14ac:dyDescent="0.25">
      <c r="E85" s="1"/>
      <c r="F85" s="1"/>
      <c r="G85" s="1"/>
    </row>
    <row r="86" spans="5:7" customFormat="1" x14ac:dyDescent="0.25">
      <c r="E86" s="1"/>
      <c r="F86" s="1"/>
      <c r="G86" s="1"/>
    </row>
    <row r="87" spans="5:7" customFormat="1" x14ac:dyDescent="0.25">
      <c r="E87" s="1"/>
      <c r="F87" s="1"/>
      <c r="G87" s="1"/>
    </row>
    <row r="88" spans="5:7" customFormat="1" x14ac:dyDescent="0.25">
      <c r="E88" s="1"/>
      <c r="F88" s="1"/>
      <c r="G88" s="1"/>
    </row>
    <row r="89" spans="5:7" customFormat="1" x14ac:dyDescent="0.25">
      <c r="E89" s="1"/>
      <c r="F89" s="1"/>
      <c r="G89" s="1"/>
    </row>
    <row r="90" spans="5:7" customFormat="1" x14ac:dyDescent="0.25">
      <c r="E90" s="1"/>
      <c r="F90" s="1"/>
      <c r="G90" s="1"/>
    </row>
    <row r="91" spans="5:7" customFormat="1" x14ac:dyDescent="0.25">
      <c r="E91" s="1"/>
      <c r="F91" s="1"/>
      <c r="G91" s="1"/>
    </row>
    <row r="92" spans="5:7" customFormat="1" x14ac:dyDescent="0.25">
      <c r="E92" s="1"/>
      <c r="F92" s="1"/>
      <c r="G92" s="1"/>
    </row>
    <row r="93" spans="5:7" customFormat="1" x14ac:dyDescent="0.25">
      <c r="E93" s="1"/>
      <c r="F93" s="1"/>
      <c r="G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18ED-8523-4168-9475-B0985F7BF39D}">
  <dimension ref="A1:AN40"/>
  <sheetViews>
    <sheetView workbookViewId="0">
      <selection activeCell="F1" sqref="F1:AN1"/>
    </sheetView>
  </sheetViews>
  <sheetFormatPr defaultRowHeight="15" x14ac:dyDescent="0.25"/>
  <sheetData>
    <row r="1" spans="1:40" x14ac:dyDescent="0.25">
      <c r="A1" t="s">
        <v>89</v>
      </c>
      <c r="B1" t="s">
        <v>91</v>
      </c>
      <c r="C1" t="s">
        <v>90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30</v>
      </c>
      <c r="K1" t="s">
        <v>124</v>
      </c>
      <c r="L1" t="s">
        <v>32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</row>
    <row r="2" spans="1:40" x14ac:dyDescent="0.25">
      <c r="A2" s="9" t="s">
        <v>0</v>
      </c>
      <c r="B2" s="9">
        <v>40</v>
      </c>
      <c r="C2" s="9" t="s">
        <v>116</v>
      </c>
      <c r="D2" s="9"/>
      <c r="E2" s="9"/>
      <c r="F2">
        <v>1.534591</v>
      </c>
      <c r="G2">
        <v>18.214269999999999</v>
      </c>
      <c r="H2">
        <v>3.8696920000000001</v>
      </c>
      <c r="I2">
        <v>2.5281090000000002</v>
      </c>
      <c r="J2">
        <v>63.763103999999998</v>
      </c>
      <c r="K2">
        <v>64.507170000000002</v>
      </c>
      <c r="L2">
        <v>33.990152000000002</v>
      </c>
      <c r="M2">
        <v>34.668973000000001</v>
      </c>
      <c r="N2">
        <v>110.740078</v>
      </c>
      <c r="O2">
        <v>88.592061999999999</v>
      </c>
      <c r="P2">
        <v>58.290947000000003</v>
      </c>
      <c r="Q2">
        <v>21.12283</v>
      </c>
      <c r="R2">
        <v>41.735976999999998</v>
      </c>
      <c r="S2">
        <v>64.699748999999997</v>
      </c>
      <c r="T2">
        <v>22.963771999999999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>
        <v>0.875911</v>
      </c>
      <c r="AJ2">
        <v>1.240874</v>
      </c>
      <c r="AK2">
        <v>3.7043729999999999</v>
      </c>
      <c r="AL2">
        <v>2.4452509999999998</v>
      </c>
      <c r="AM2">
        <v>0.80291800000000002</v>
      </c>
      <c r="AN2">
        <v>1.094889</v>
      </c>
    </row>
    <row r="3" spans="1:40" x14ac:dyDescent="0.25">
      <c r="A3" s="9" t="s">
        <v>0</v>
      </c>
      <c r="B3" s="9">
        <v>41</v>
      </c>
      <c r="C3" s="9" t="s">
        <v>116</v>
      </c>
      <c r="D3" s="9"/>
      <c r="E3" s="9"/>
      <c r="F3">
        <v>1.535663</v>
      </c>
      <c r="G3">
        <v>14.207983</v>
      </c>
      <c r="H3">
        <v>3.9600780000000002</v>
      </c>
      <c r="I3">
        <v>2.8700450000000002</v>
      </c>
      <c r="J3">
        <v>50.906319000000003</v>
      </c>
      <c r="K3">
        <v>54.058093999999997</v>
      </c>
      <c r="L3">
        <v>25.555555999999999</v>
      </c>
      <c r="M3">
        <v>27.525538999999998</v>
      </c>
      <c r="N3">
        <v>123.633601</v>
      </c>
      <c r="O3">
        <v>98.906880999999998</v>
      </c>
      <c r="P3">
        <v>69.740493000000001</v>
      </c>
      <c r="Q3">
        <v>34.238174999999998</v>
      </c>
      <c r="R3">
        <v>36.953384999999997</v>
      </c>
      <c r="S3">
        <v>68.358653000000004</v>
      </c>
      <c r="T3">
        <v>31.405269000000001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>
        <v>0.88749999999999996</v>
      </c>
      <c r="AJ3">
        <v>1.1981250000000001</v>
      </c>
      <c r="AK3">
        <v>3.9937499999999999</v>
      </c>
      <c r="AL3">
        <v>2.973125</v>
      </c>
      <c r="AM3">
        <v>0.77656199999999997</v>
      </c>
      <c r="AN3">
        <v>0.88749999999999996</v>
      </c>
    </row>
    <row r="4" spans="1:40" x14ac:dyDescent="0.25">
      <c r="A4" s="9" t="s">
        <v>0</v>
      </c>
      <c r="B4" s="9">
        <v>42</v>
      </c>
      <c r="C4" s="9" t="s">
        <v>116</v>
      </c>
      <c r="D4" s="9"/>
      <c r="E4" s="9"/>
      <c r="F4">
        <v>1.5359700000000001</v>
      </c>
      <c r="G4">
        <v>13.808379</v>
      </c>
      <c r="H4">
        <v>3.656936</v>
      </c>
      <c r="I4">
        <v>2.538958</v>
      </c>
      <c r="J4">
        <v>57.120424</v>
      </c>
      <c r="K4">
        <v>58.975375</v>
      </c>
      <c r="L4">
        <v>29.319368000000001</v>
      </c>
      <c r="M4">
        <v>30.571449999999999</v>
      </c>
      <c r="N4">
        <v>106.730828</v>
      </c>
      <c r="O4">
        <v>85.384662000000006</v>
      </c>
      <c r="P4">
        <v>55.573208000000001</v>
      </c>
      <c r="Q4">
        <v>23.829556</v>
      </c>
      <c r="R4">
        <v>33.348768999999997</v>
      </c>
      <c r="S4">
        <v>56.546937999999997</v>
      </c>
      <c r="T4">
        <v>23.198169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>
        <v>0.93158300000000005</v>
      </c>
      <c r="AJ4">
        <v>1.216761</v>
      </c>
      <c r="AK4">
        <v>3.6312720000000001</v>
      </c>
      <c r="AL4">
        <v>2.5666060000000002</v>
      </c>
      <c r="AM4">
        <v>0.74146400000000001</v>
      </c>
      <c r="AN4">
        <v>1.0076309999999999</v>
      </c>
    </row>
    <row r="5" spans="1:40" x14ac:dyDescent="0.25">
      <c r="A5" s="9" t="s">
        <v>0</v>
      </c>
      <c r="B5" s="9">
        <v>43</v>
      </c>
      <c r="C5" s="9" t="s">
        <v>115</v>
      </c>
      <c r="D5" s="9"/>
      <c r="E5" s="9"/>
      <c r="F5">
        <v>1.343952</v>
      </c>
      <c r="G5">
        <v>15.081167000000001</v>
      </c>
      <c r="H5">
        <v>3.7238519999999999</v>
      </c>
      <c r="I5">
        <v>2.4886810000000001</v>
      </c>
      <c r="J5">
        <v>60.638534</v>
      </c>
      <c r="K5">
        <v>62.606848999999997</v>
      </c>
      <c r="L5">
        <v>31.746043</v>
      </c>
      <c r="M5">
        <v>33.169189000000003</v>
      </c>
      <c r="N5">
        <v>90.676816000000002</v>
      </c>
      <c r="O5">
        <v>72.541453000000004</v>
      </c>
      <c r="P5">
        <v>57.444612999999997</v>
      </c>
      <c r="Q5">
        <v>22.611042000000001</v>
      </c>
      <c r="R5">
        <v>36.957237999999997</v>
      </c>
      <c r="S5">
        <v>59.030662999999997</v>
      </c>
      <c r="T5">
        <v>22.073425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>
        <v>0.74025799999999997</v>
      </c>
      <c r="AJ5">
        <v>1.149348</v>
      </c>
      <c r="AK5">
        <v>3.68181</v>
      </c>
      <c r="AL5">
        <v>2.5129809999999999</v>
      </c>
      <c r="AM5">
        <v>0.72077800000000003</v>
      </c>
      <c r="AN5">
        <v>1.0909070000000001</v>
      </c>
    </row>
    <row r="6" spans="1:40" x14ac:dyDescent="0.25">
      <c r="A6" s="9" t="s">
        <v>59</v>
      </c>
      <c r="B6" s="9">
        <v>40</v>
      </c>
      <c r="C6" s="9" t="s">
        <v>116</v>
      </c>
      <c r="D6" s="9"/>
      <c r="E6" s="9"/>
      <c r="F6">
        <v>1.7361880000000001</v>
      </c>
      <c r="G6">
        <v>10.509252</v>
      </c>
      <c r="H6">
        <v>4.3164939999999996</v>
      </c>
      <c r="I6">
        <v>3.8949220000000002</v>
      </c>
      <c r="J6">
        <v>22.739794</v>
      </c>
      <c r="K6">
        <v>21.597373000000001</v>
      </c>
      <c r="L6">
        <v>10.326086999999999</v>
      </c>
      <c r="M6">
        <v>9.7665380000000006</v>
      </c>
      <c r="N6">
        <v>157.20951500000001</v>
      </c>
      <c r="O6">
        <v>125.767612</v>
      </c>
      <c r="P6">
        <v>86.288651999999999</v>
      </c>
      <c r="Q6">
        <v>66.666790000000006</v>
      </c>
      <c r="R6">
        <v>18.103936999999998</v>
      </c>
      <c r="S6">
        <v>83.824719000000002</v>
      </c>
      <c r="T6">
        <v>65.720782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>
        <v>0.87875000000000003</v>
      </c>
      <c r="AJ6">
        <v>0.99750000000000005</v>
      </c>
      <c r="AK6">
        <v>4.37</v>
      </c>
      <c r="AL6">
        <v>3.9187500000000002</v>
      </c>
      <c r="AM6">
        <v>0.90249999999999997</v>
      </c>
      <c r="AN6">
        <v>0.97375</v>
      </c>
    </row>
    <row r="7" spans="1:40" x14ac:dyDescent="0.25">
      <c r="A7" s="9" t="s">
        <v>59</v>
      </c>
      <c r="B7" s="9">
        <v>41</v>
      </c>
      <c r="C7" s="9" t="s">
        <v>116</v>
      </c>
      <c r="D7" s="9"/>
      <c r="E7" s="9"/>
      <c r="F7">
        <v>1.8833059999999999</v>
      </c>
      <c r="G7">
        <v>13.40512</v>
      </c>
      <c r="H7">
        <v>4.7039749999999998</v>
      </c>
      <c r="I7">
        <v>4.1991630000000004</v>
      </c>
      <c r="J7">
        <v>23.321791999999999</v>
      </c>
      <c r="K7">
        <v>23.421512</v>
      </c>
      <c r="L7">
        <v>10.684936</v>
      </c>
      <c r="M7">
        <v>10.731608</v>
      </c>
      <c r="N7">
        <v>190.902658</v>
      </c>
      <c r="O7">
        <v>152.722126</v>
      </c>
      <c r="P7">
        <v>103.20271</v>
      </c>
      <c r="Q7">
        <v>79.133989</v>
      </c>
      <c r="R7">
        <v>24.021975000000001</v>
      </c>
      <c r="S7">
        <v>102.56372500000001</v>
      </c>
      <c r="T7">
        <v>78.541749999999993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>
        <v>1.0337529999999999</v>
      </c>
      <c r="AJ7">
        <v>1.162973</v>
      </c>
      <c r="AK7">
        <v>4.7164999999999999</v>
      </c>
      <c r="AL7">
        <v>4.2125450000000004</v>
      </c>
      <c r="AM7">
        <v>0.83992500000000003</v>
      </c>
      <c r="AN7">
        <v>0.87868999999999997</v>
      </c>
    </row>
    <row r="8" spans="1:40" x14ac:dyDescent="0.25">
      <c r="A8" s="9" t="s">
        <v>59</v>
      </c>
      <c r="B8" s="9">
        <v>42</v>
      </c>
      <c r="C8" s="9" t="s">
        <v>116</v>
      </c>
      <c r="D8" s="9"/>
      <c r="E8" s="9"/>
      <c r="F8">
        <v>2.1407060000000002</v>
      </c>
      <c r="G8">
        <v>16.539747999999999</v>
      </c>
      <c r="H8">
        <v>4.5197520000000004</v>
      </c>
      <c r="I8">
        <v>3.8699669999999999</v>
      </c>
      <c r="J8">
        <v>31.782931999999999</v>
      </c>
      <c r="K8">
        <v>30.723136</v>
      </c>
      <c r="L8">
        <v>14.893613999999999</v>
      </c>
      <c r="M8">
        <v>14.37656</v>
      </c>
      <c r="N8">
        <v>197.10804400000001</v>
      </c>
      <c r="O8">
        <v>157.68643499999999</v>
      </c>
      <c r="P8">
        <v>87.651949000000002</v>
      </c>
      <c r="Q8">
        <v>59.793590000000002</v>
      </c>
      <c r="R8">
        <v>28.697842000000001</v>
      </c>
      <c r="S8">
        <v>93.407920000000004</v>
      </c>
      <c r="T8">
        <v>64.710077999999996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>
        <v>1.0529999999999999</v>
      </c>
      <c r="AJ8">
        <v>1.4508000000000001</v>
      </c>
      <c r="AK8">
        <v>4.3992009999999997</v>
      </c>
      <c r="AL8">
        <v>3.7440009999999999</v>
      </c>
      <c r="AM8">
        <v>1.0296000000000001</v>
      </c>
      <c r="AN8">
        <v>1.0998000000000001</v>
      </c>
    </row>
    <row r="9" spans="1:40" x14ac:dyDescent="0.25">
      <c r="A9" s="9" t="s">
        <v>59</v>
      </c>
      <c r="B9" s="9">
        <v>43</v>
      </c>
      <c r="C9" s="9" t="s">
        <v>115</v>
      </c>
      <c r="D9" s="9"/>
      <c r="E9" s="9"/>
      <c r="F9">
        <v>1.885921</v>
      </c>
      <c r="G9">
        <v>12.057573</v>
      </c>
      <c r="H9">
        <v>3.729501</v>
      </c>
      <c r="I9">
        <v>3.1270549999999999</v>
      </c>
      <c r="J9">
        <v>30.219192</v>
      </c>
      <c r="K9">
        <v>34.627502999999997</v>
      </c>
      <c r="L9">
        <v>13.855435</v>
      </c>
      <c r="M9">
        <v>16.153523</v>
      </c>
      <c r="N9">
        <v>110.393351</v>
      </c>
      <c r="O9">
        <v>88.314680999999993</v>
      </c>
      <c r="P9">
        <v>57.493755</v>
      </c>
      <c r="Q9">
        <v>40.119607000000002</v>
      </c>
      <c r="R9">
        <v>20.513950000000001</v>
      </c>
      <c r="S9">
        <v>59.241782999999998</v>
      </c>
      <c r="T9">
        <v>38.727832999999997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>
        <v>0.71</v>
      </c>
      <c r="AJ9">
        <v>0.84312500000000001</v>
      </c>
      <c r="AK9">
        <v>3.683125</v>
      </c>
      <c r="AL9">
        <v>3.172812</v>
      </c>
      <c r="AM9">
        <v>0.97624999999999995</v>
      </c>
      <c r="AN9">
        <v>1.0871869999999999</v>
      </c>
    </row>
    <row r="10" spans="1:40" x14ac:dyDescent="0.25">
      <c r="A10" s="9" t="s">
        <v>96</v>
      </c>
      <c r="B10" s="9">
        <v>40</v>
      </c>
      <c r="C10" s="9" t="s">
        <v>116</v>
      </c>
      <c r="D10" s="9"/>
      <c r="E10" s="9"/>
      <c r="F10">
        <v>2.1005029999999998</v>
      </c>
      <c r="G10">
        <v>17.892893000000001</v>
      </c>
      <c r="H10">
        <v>4.8398519999999996</v>
      </c>
      <c r="I10">
        <v>4.1634390000000003</v>
      </c>
      <c r="J10">
        <v>28.638781999999999</v>
      </c>
      <c r="K10">
        <v>29.772538999999998</v>
      </c>
      <c r="L10">
        <v>13.407819</v>
      </c>
      <c r="M10">
        <v>13.975906999999999</v>
      </c>
      <c r="N10">
        <v>237.72384099999999</v>
      </c>
      <c r="O10">
        <v>190.17907299999999</v>
      </c>
      <c r="P10">
        <v>114.100357</v>
      </c>
      <c r="Q10">
        <v>81.423404000000005</v>
      </c>
      <c r="R10">
        <v>32.636637</v>
      </c>
      <c r="S10">
        <v>109.619935</v>
      </c>
      <c r="T10">
        <v>76.983296999999993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>
        <v>1.100317</v>
      </c>
      <c r="AJ10">
        <v>1.4029039999999999</v>
      </c>
      <c r="AK10">
        <v>4.9239179999999996</v>
      </c>
      <c r="AL10">
        <v>4.2637280000000004</v>
      </c>
      <c r="AM10">
        <v>0.99028499999999997</v>
      </c>
      <c r="AN10">
        <v>1.2103489999999999</v>
      </c>
    </row>
    <row r="11" spans="1:40" x14ac:dyDescent="0.25">
      <c r="A11" s="9" t="s">
        <v>96</v>
      </c>
      <c r="B11" s="9">
        <v>41</v>
      </c>
      <c r="C11" s="9" t="s">
        <v>116</v>
      </c>
      <c r="D11" s="9"/>
      <c r="E11" s="9"/>
      <c r="F11">
        <v>2.24953</v>
      </c>
      <c r="G11">
        <v>15.029415</v>
      </c>
      <c r="H11">
        <v>5.1260250000000003</v>
      </c>
      <c r="I11">
        <v>4.6640199999999998</v>
      </c>
      <c r="J11">
        <v>18.16319</v>
      </c>
      <c r="K11">
        <v>19.648002999999999</v>
      </c>
      <c r="L11">
        <v>8.2322570000000006</v>
      </c>
      <c r="M11">
        <v>8.9813869999999998</v>
      </c>
      <c r="N11">
        <v>174.42782099999999</v>
      </c>
      <c r="O11">
        <v>139.54225700000001</v>
      </c>
      <c r="P11">
        <v>119.03396600000001</v>
      </c>
      <c r="Q11">
        <v>97.413601</v>
      </c>
      <c r="R11">
        <v>24.835478999999999</v>
      </c>
      <c r="S11">
        <v>125.463491</v>
      </c>
      <c r="T11">
        <v>100.628012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>
        <v>0.71852199999999999</v>
      </c>
      <c r="AJ11">
        <v>0.91508400000000001</v>
      </c>
      <c r="AK11">
        <v>5.0143599999999999</v>
      </c>
      <c r="AL11">
        <v>4.6015649999999999</v>
      </c>
      <c r="AM11">
        <v>0.89934899999999995</v>
      </c>
      <c r="AN11">
        <v>1.1634640000000001</v>
      </c>
    </row>
    <row r="12" spans="1:40" x14ac:dyDescent="0.25">
      <c r="A12" s="9" t="s">
        <v>96</v>
      </c>
      <c r="B12" s="9">
        <v>43</v>
      </c>
      <c r="C12" s="9" t="s">
        <v>115</v>
      </c>
      <c r="D12" s="9"/>
      <c r="E12" s="9"/>
      <c r="F12">
        <v>2.0366119999999999</v>
      </c>
      <c r="G12">
        <v>26.663613000000002</v>
      </c>
      <c r="H12">
        <v>4.5484939999999998</v>
      </c>
      <c r="I12">
        <v>3.5352420000000002</v>
      </c>
      <c r="J12">
        <v>43.501601000000001</v>
      </c>
      <c r="K12">
        <v>45.020045000000003</v>
      </c>
      <c r="L12">
        <v>21.33334</v>
      </c>
      <c r="M12">
        <v>22.27666</v>
      </c>
      <c r="N12">
        <v>200.86135300000001</v>
      </c>
      <c r="O12">
        <v>160.68908200000001</v>
      </c>
      <c r="P12">
        <v>88.972587000000004</v>
      </c>
      <c r="Q12">
        <v>50.268087000000001</v>
      </c>
      <c r="R12">
        <v>42.679557000000003</v>
      </c>
      <c r="S12">
        <v>94.801231000000001</v>
      </c>
      <c r="T12">
        <v>52.121673999999999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>
        <v>0.91496699999999997</v>
      </c>
      <c r="AJ12">
        <v>1.298662</v>
      </c>
      <c r="AK12">
        <v>4.4272580000000001</v>
      </c>
      <c r="AL12">
        <v>3.4827759999999999</v>
      </c>
      <c r="AM12">
        <v>1.1806019999999999</v>
      </c>
      <c r="AN12">
        <v>1.446237</v>
      </c>
    </row>
    <row r="13" spans="1:40" x14ac:dyDescent="0.25">
      <c r="A13" s="9" t="s">
        <v>117</v>
      </c>
      <c r="B13" s="9">
        <v>40</v>
      </c>
      <c r="C13" s="9" t="s">
        <v>116</v>
      </c>
      <c r="D13" s="9"/>
      <c r="E13" s="9"/>
      <c r="F13">
        <v>2.6731250000000002</v>
      </c>
      <c r="G13">
        <v>18.619439</v>
      </c>
      <c r="H13">
        <v>5.3266710000000002</v>
      </c>
      <c r="I13">
        <v>4.693886</v>
      </c>
      <c r="J13">
        <v>24.051679</v>
      </c>
      <c r="K13">
        <v>25.468938999999999</v>
      </c>
      <c r="L13">
        <v>11.170222000000001</v>
      </c>
      <c r="M13">
        <v>11.879552</v>
      </c>
      <c r="N13">
        <v>269.64299699999998</v>
      </c>
      <c r="O13">
        <v>215.71439799999999</v>
      </c>
      <c r="P13">
        <v>138.08748499999999</v>
      </c>
      <c r="Q13">
        <v>104.87512599999999</v>
      </c>
      <c r="R13">
        <v>34.872656999999997</v>
      </c>
      <c r="S13">
        <v>136.92230000000001</v>
      </c>
      <c r="T13">
        <v>102.049643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>
        <v>1.336562</v>
      </c>
      <c r="AJ13">
        <v>1.70625</v>
      </c>
      <c r="AK13">
        <v>5.3462500000000004</v>
      </c>
      <c r="AL13">
        <v>4.7490620000000003</v>
      </c>
      <c r="AM13">
        <v>0.739375</v>
      </c>
      <c r="AN13">
        <v>0.85312500000000002</v>
      </c>
    </row>
    <row r="14" spans="1:40" x14ac:dyDescent="0.25">
      <c r="A14" s="9" t="s">
        <v>117</v>
      </c>
      <c r="B14" s="9">
        <v>41</v>
      </c>
      <c r="C14" s="9" t="s">
        <v>116</v>
      </c>
      <c r="D14" s="9"/>
      <c r="E14" s="9"/>
      <c r="F14">
        <v>2.6246719999999999</v>
      </c>
      <c r="G14">
        <v>11.545543</v>
      </c>
      <c r="H14">
        <v>6.1706139999999996</v>
      </c>
      <c r="I14">
        <v>5.8767639999999997</v>
      </c>
      <c r="J14">
        <v>9.2839069999999992</v>
      </c>
      <c r="K14">
        <v>10.550409</v>
      </c>
      <c r="L14">
        <v>4.1763339999999998</v>
      </c>
      <c r="M14">
        <v>4.7620870000000002</v>
      </c>
      <c r="N14">
        <v>185.63116299999999</v>
      </c>
      <c r="O14">
        <v>148.50493</v>
      </c>
      <c r="P14">
        <v>192.71858399999999</v>
      </c>
      <c r="Q14">
        <v>174.82676900000001</v>
      </c>
      <c r="R14">
        <v>20.246392</v>
      </c>
      <c r="S14">
        <v>191.90149299999999</v>
      </c>
      <c r="T14">
        <v>171.655101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>
        <v>0.51637599999999995</v>
      </c>
      <c r="AJ14">
        <v>0.57375100000000001</v>
      </c>
      <c r="AK14">
        <v>6.182169</v>
      </c>
      <c r="AL14">
        <v>5.9239810000000004</v>
      </c>
      <c r="AM14">
        <v>0.74587700000000001</v>
      </c>
      <c r="AN14">
        <v>0.83193899999999998</v>
      </c>
    </row>
    <row r="15" spans="1:40" x14ac:dyDescent="0.25">
      <c r="A15" s="9" t="s">
        <v>117</v>
      </c>
      <c r="B15" s="9">
        <v>43</v>
      </c>
      <c r="C15" s="9" t="s">
        <v>115</v>
      </c>
      <c r="D15" s="9"/>
      <c r="E15" s="9"/>
      <c r="F15">
        <v>2.2218019999999998</v>
      </c>
      <c r="G15">
        <v>20.129446999999999</v>
      </c>
      <c r="H15">
        <v>4.9002910000000002</v>
      </c>
      <c r="I15">
        <v>4.0974009999999996</v>
      </c>
      <c r="J15">
        <v>30.148087</v>
      </c>
      <c r="K15">
        <v>34.259943999999997</v>
      </c>
      <c r="L15">
        <v>14.136127999999999</v>
      </c>
      <c r="M15">
        <v>16.384536000000001</v>
      </c>
      <c r="N15">
        <v>188.86239499999999</v>
      </c>
      <c r="O15">
        <v>151.08991599999999</v>
      </c>
      <c r="P15">
        <v>103.596183</v>
      </c>
      <c r="Q15">
        <v>72.363916000000003</v>
      </c>
      <c r="R15">
        <v>38.657485000000001</v>
      </c>
      <c r="S15">
        <v>112.83581</v>
      </c>
      <c r="T15">
        <v>74.178325000000001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>
        <v>0.86568800000000001</v>
      </c>
      <c r="AJ15">
        <v>1.335634</v>
      </c>
      <c r="AK15">
        <v>4.7241860000000004</v>
      </c>
      <c r="AL15">
        <v>4.0563690000000001</v>
      </c>
      <c r="AM15">
        <v>0.98935799999999996</v>
      </c>
      <c r="AN15">
        <v>1.1130279999999999</v>
      </c>
    </row>
    <row r="16" spans="1:40" x14ac:dyDescent="0.25">
      <c r="A16" s="9" t="s">
        <v>0</v>
      </c>
      <c r="B16" s="9">
        <v>114</v>
      </c>
      <c r="C16" s="9" t="s">
        <v>113</v>
      </c>
      <c r="D16" s="9"/>
      <c r="E16" s="9"/>
      <c r="F16">
        <v>1.761109</v>
      </c>
      <c r="G16" s="9"/>
      <c r="H16" s="9"/>
      <c r="I16" s="9"/>
      <c r="J16">
        <v>61.735875</v>
      </c>
      <c r="K16" s="9"/>
      <c r="L16">
        <v>32.967024000000002</v>
      </c>
      <c r="M16" s="9"/>
      <c r="N16">
        <v>111.21222899999999</v>
      </c>
      <c r="O16">
        <v>88.969783000000007</v>
      </c>
      <c r="P16">
        <v>86.342962999999997</v>
      </c>
      <c r="Q16">
        <v>33.038378999999999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>
        <v>0.64846999999999999</v>
      </c>
      <c r="AJ16">
        <v>1.152836</v>
      </c>
      <c r="AK16">
        <v>4.3711679999999999</v>
      </c>
      <c r="AL16">
        <v>2.9301240000000002</v>
      </c>
      <c r="AM16">
        <v>0.720522</v>
      </c>
      <c r="AN16">
        <v>1.1768529999999999</v>
      </c>
    </row>
    <row r="17" spans="1:40" x14ac:dyDescent="0.25">
      <c r="A17" s="9" t="s">
        <v>0</v>
      </c>
      <c r="B17" s="9">
        <v>128</v>
      </c>
      <c r="C17" s="9" t="s">
        <v>114</v>
      </c>
      <c r="D17" s="9"/>
      <c r="E17" s="9"/>
      <c r="F17">
        <v>1.6288480000000001</v>
      </c>
      <c r="G17">
        <v>17.565684999999998</v>
      </c>
      <c r="H17">
        <v>3.9669759999999998</v>
      </c>
      <c r="I17">
        <v>2.7535400000000001</v>
      </c>
      <c r="J17">
        <v>55.006369999999997</v>
      </c>
      <c r="K17">
        <v>58.688997000000001</v>
      </c>
      <c r="L17">
        <v>28.130367</v>
      </c>
      <c r="M17">
        <v>30.58764</v>
      </c>
      <c r="N17">
        <v>105.421514</v>
      </c>
      <c r="O17">
        <v>84.337210999999996</v>
      </c>
      <c r="P17">
        <v>67.831986999999998</v>
      </c>
      <c r="Q17">
        <v>30.520073</v>
      </c>
      <c r="R17">
        <v>40.297392000000002</v>
      </c>
      <c r="S17">
        <v>68.659914000000001</v>
      </c>
      <c r="T17">
        <v>28.362521999999998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>
        <v>0.85650999999999999</v>
      </c>
      <c r="AJ17">
        <v>1.3609370000000001</v>
      </c>
      <c r="AK17">
        <v>3.9473959999999999</v>
      </c>
      <c r="AL17">
        <v>2.8369789999999999</v>
      </c>
      <c r="AM17">
        <v>0.64322900000000005</v>
      </c>
      <c r="AN17">
        <v>0.84635400000000005</v>
      </c>
    </row>
    <row r="18" spans="1:40" x14ac:dyDescent="0.25">
      <c r="A18" s="9" t="s">
        <v>0</v>
      </c>
      <c r="B18" s="9">
        <v>126</v>
      </c>
      <c r="C18" s="9" t="s">
        <v>114</v>
      </c>
      <c r="D18" s="9"/>
      <c r="E18" s="9"/>
      <c r="F18">
        <v>1.701281</v>
      </c>
      <c r="G18">
        <v>28.124012</v>
      </c>
      <c r="H18">
        <v>4.5446239999999998</v>
      </c>
      <c r="I18">
        <v>3.199767</v>
      </c>
      <c r="J18">
        <v>53.108642000000003</v>
      </c>
      <c r="K18">
        <v>56.709463999999997</v>
      </c>
      <c r="L18">
        <v>27.225142000000002</v>
      </c>
      <c r="M18">
        <v>29.592272000000001</v>
      </c>
      <c r="N18">
        <v>132.79877999999999</v>
      </c>
      <c r="O18">
        <v>106.239024</v>
      </c>
      <c r="P18">
        <v>94.162364999999994</v>
      </c>
      <c r="Q18">
        <v>44.154012000000002</v>
      </c>
      <c r="R18">
        <v>53.654364999999999</v>
      </c>
      <c r="S18">
        <v>94.612717000000004</v>
      </c>
      <c r="T18">
        <v>40.958351999999998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>
        <v>0.73611499999999996</v>
      </c>
      <c r="AJ18">
        <v>1.116045</v>
      </c>
      <c r="AK18">
        <v>4.5354179999999999</v>
      </c>
      <c r="AL18">
        <v>3.3006440000000001</v>
      </c>
      <c r="AM18">
        <v>0.75986100000000001</v>
      </c>
      <c r="AN18">
        <v>1.068554</v>
      </c>
    </row>
    <row r="19" spans="1:40" x14ac:dyDescent="0.25">
      <c r="A19" s="9" t="s">
        <v>59</v>
      </c>
      <c r="B19" s="9">
        <v>114</v>
      </c>
      <c r="C19" s="9" t="s">
        <v>113</v>
      </c>
      <c r="D19" s="9"/>
      <c r="E19" s="9"/>
      <c r="F19">
        <v>2.0537679999999998</v>
      </c>
      <c r="G19">
        <v>12.292771999999999</v>
      </c>
      <c r="H19">
        <v>3.960995</v>
      </c>
      <c r="I19">
        <v>3.1960000000000002</v>
      </c>
      <c r="J19">
        <v>40.929327000000001</v>
      </c>
      <c r="K19">
        <v>40.257675999999996</v>
      </c>
      <c r="L19">
        <v>19.774011000000002</v>
      </c>
      <c r="M19">
        <v>19.313199000000001</v>
      </c>
      <c r="N19">
        <v>144.845776</v>
      </c>
      <c r="O19">
        <v>115.876621</v>
      </c>
      <c r="P19">
        <v>78.744106000000002</v>
      </c>
      <c r="Q19">
        <v>46.514673000000002</v>
      </c>
      <c r="R19">
        <v>27.535810000000001</v>
      </c>
      <c r="S19">
        <v>68.398905999999997</v>
      </c>
      <c r="T19">
        <v>40.863095999999999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>
        <v>0.92625000000000002</v>
      </c>
      <c r="AJ19">
        <v>1.25875</v>
      </c>
      <c r="AK19">
        <v>4.2037500000000003</v>
      </c>
      <c r="AL19">
        <v>3.3725000000000001</v>
      </c>
      <c r="AM19">
        <v>0.83125000000000004</v>
      </c>
      <c r="AN19">
        <v>0.95</v>
      </c>
    </row>
    <row r="20" spans="1:40" x14ac:dyDescent="0.25">
      <c r="A20" s="9" t="s">
        <v>59</v>
      </c>
      <c r="B20" s="9">
        <v>128</v>
      </c>
      <c r="C20" s="9" t="s">
        <v>114</v>
      </c>
      <c r="D20" s="9"/>
      <c r="E20" s="9"/>
      <c r="F20">
        <v>2.0670299999999999</v>
      </c>
      <c r="G20">
        <v>7.571599</v>
      </c>
      <c r="H20">
        <v>4.1313950000000004</v>
      </c>
      <c r="I20">
        <v>3.698518</v>
      </c>
      <c r="J20">
        <v>26.023800000000001</v>
      </c>
      <c r="K20">
        <v>23.142873000000002</v>
      </c>
      <c r="L20">
        <v>11.904761000000001</v>
      </c>
      <c r="M20">
        <v>10.477736999999999</v>
      </c>
      <c r="N20">
        <v>133.43369799999999</v>
      </c>
      <c r="O20">
        <v>106.74695800000001</v>
      </c>
      <c r="P20">
        <v>78.874543000000003</v>
      </c>
      <c r="Q20">
        <v>58.348390000000002</v>
      </c>
      <c r="R20">
        <v>17.490393999999998</v>
      </c>
      <c r="S20">
        <v>75.575721999999999</v>
      </c>
      <c r="T20">
        <v>58.085329000000002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>
        <v>1.1267929999999999</v>
      </c>
      <c r="AJ20">
        <v>1.2770319999999999</v>
      </c>
      <c r="AK20">
        <v>4.2066949999999999</v>
      </c>
      <c r="AL20">
        <v>3.7058979999999999</v>
      </c>
      <c r="AM20">
        <v>0.525837</v>
      </c>
      <c r="AN20">
        <v>0.65103599999999995</v>
      </c>
    </row>
    <row r="21" spans="1:40" x14ac:dyDescent="0.25">
      <c r="A21" s="9" t="s">
        <v>59</v>
      </c>
      <c r="B21" s="9">
        <v>126</v>
      </c>
      <c r="C21" s="9" t="s">
        <v>114</v>
      </c>
      <c r="D21" s="9"/>
      <c r="E21" s="9"/>
      <c r="F21">
        <v>2.2760790000000002</v>
      </c>
      <c r="G21">
        <v>15.22663</v>
      </c>
      <c r="H21">
        <v>5.1487369999999997</v>
      </c>
      <c r="I21">
        <v>4.5943560000000003</v>
      </c>
      <c r="J21">
        <v>28.155615999999998</v>
      </c>
      <c r="K21">
        <v>23.325015</v>
      </c>
      <c r="L21">
        <v>13.013700999999999</v>
      </c>
      <c r="M21">
        <v>10.767312</v>
      </c>
      <c r="N21">
        <v>153.237393</v>
      </c>
      <c r="O21">
        <v>122.58991399999999</v>
      </c>
      <c r="P21">
        <v>85.350498999999999</v>
      </c>
      <c r="Q21">
        <v>61.319540000000003</v>
      </c>
      <c r="R21">
        <v>29.525282000000001</v>
      </c>
      <c r="S21">
        <v>126.582048</v>
      </c>
      <c r="T21">
        <v>97.056765999999996</v>
      </c>
      <c r="U21" s="6"/>
      <c r="V21" s="6"/>
      <c r="W21" s="6"/>
      <c r="X21" s="6"/>
      <c r="Y21" s="6"/>
      <c r="Z21" s="6"/>
      <c r="AA21" s="6"/>
      <c r="AB21" s="6"/>
      <c r="AC21" s="7"/>
      <c r="AD21" s="7"/>
      <c r="AE21" s="7"/>
      <c r="AF21" s="7"/>
      <c r="AG21" s="7"/>
      <c r="AH21" s="7"/>
      <c r="AI21">
        <v>0.98316499999999996</v>
      </c>
      <c r="AJ21">
        <v>1.251301</v>
      </c>
      <c r="AK21">
        <v>4.3497620000000001</v>
      </c>
      <c r="AL21">
        <v>3.7836970000000001</v>
      </c>
      <c r="AM21">
        <v>0.77461500000000005</v>
      </c>
      <c r="AN21">
        <v>0.86399400000000004</v>
      </c>
    </row>
    <row r="22" spans="1:40" x14ac:dyDescent="0.25">
      <c r="A22" s="9" t="s">
        <v>96</v>
      </c>
      <c r="B22" s="9">
        <v>126</v>
      </c>
      <c r="C22" s="9" t="s">
        <v>114</v>
      </c>
      <c r="D22" s="9"/>
      <c r="E22" s="9"/>
      <c r="F22">
        <v>2.5358849999999999</v>
      </c>
      <c r="G22">
        <v>12.064093</v>
      </c>
      <c r="H22">
        <v>4.9586220000000001</v>
      </c>
      <c r="I22">
        <v>4.4076599999999999</v>
      </c>
      <c r="J22">
        <v>27.619833</v>
      </c>
      <c r="K22">
        <v>24.046447000000001</v>
      </c>
      <c r="L22">
        <v>12.903226</v>
      </c>
      <c r="M22">
        <v>11.111202</v>
      </c>
      <c r="N22">
        <v>147.51435599999999</v>
      </c>
      <c r="O22">
        <v>118.01148499999999</v>
      </c>
      <c r="P22">
        <v>118.17454499999999</v>
      </c>
      <c r="Q22">
        <v>85.534932999999995</v>
      </c>
      <c r="R22">
        <v>27.889503000000001</v>
      </c>
      <c r="S22">
        <v>115.981802</v>
      </c>
      <c r="T22">
        <v>88.092298999999997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>
        <v>0.80625000000000002</v>
      </c>
      <c r="AJ22">
        <v>1.048125</v>
      </c>
      <c r="AK22">
        <v>4.9987500000000002</v>
      </c>
      <c r="AL22">
        <v>4.3537499999999998</v>
      </c>
      <c r="AM22">
        <v>0.61812500000000004</v>
      </c>
      <c r="AN22">
        <v>0.64500000000000002</v>
      </c>
    </row>
    <row r="23" spans="1:40" x14ac:dyDescent="0.25">
      <c r="A23" s="9" t="s">
        <v>96</v>
      </c>
      <c r="B23" s="9">
        <v>114</v>
      </c>
      <c r="C23" s="9" t="s">
        <v>113</v>
      </c>
      <c r="D23" s="9"/>
      <c r="E23" s="9"/>
      <c r="F23">
        <v>2.4324690000000002</v>
      </c>
      <c r="G23">
        <v>9.6663759999999996</v>
      </c>
      <c r="H23">
        <v>4.368989</v>
      </c>
      <c r="I23">
        <v>3.9081160000000001</v>
      </c>
      <c r="J23">
        <v>26.581695</v>
      </c>
      <c r="K23">
        <v>23.204097999999998</v>
      </c>
      <c r="L23">
        <v>12.209306</v>
      </c>
      <c r="M23">
        <v>10.548745</v>
      </c>
      <c r="N23">
        <v>124.996089</v>
      </c>
      <c r="O23">
        <v>99.996870999999999</v>
      </c>
      <c r="P23">
        <v>83.379566999999994</v>
      </c>
      <c r="Q23">
        <v>61.215865000000001</v>
      </c>
      <c r="R23">
        <v>20.013694000000001</v>
      </c>
      <c r="S23">
        <v>86.250690000000006</v>
      </c>
      <c r="T23">
        <v>66.236994999999993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>
        <v>0.82631500000000002</v>
      </c>
      <c r="AJ23">
        <v>1.026634</v>
      </c>
      <c r="AK23">
        <v>4.3068540000000004</v>
      </c>
      <c r="AL23">
        <v>3.7810169999999999</v>
      </c>
      <c r="AM23">
        <v>0.70111599999999996</v>
      </c>
      <c r="AN23">
        <v>0.57591700000000001</v>
      </c>
    </row>
    <row r="24" spans="1:40" x14ac:dyDescent="0.25">
      <c r="A24" s="9" t="s">
        <v>96</v>
      </c>
      <c r="B24" s="9">
        <v>128</v>
      </c>
      <c r="C24" s="9" t="s">
        <v>114</v>
      </c>
      <c r="D24" s="9"/>
      <c r="E24" s="9"/>
      <c r="F24">
        <v>3.3442569999999998</v>
      </c>
      <c r="G24">
        <v>11.232199</v>
      </c>
      <c r="H24">
        <v>7.1836219999999997</v>
      </c>
      <c r="I24">
        <v>6.8403169999999998</v>
      </c>
      <c r="J24">
        <v>8.5155999999999992</v>
      </c>
      <c r="K24">
        <v>10.455296000000001</v>
      </c>
      <c r="L24">
        <v>3.8626610000000001</v>
      </c>
      <c r="M24">
        <v>4.7794429999999997</v>
      </c>
      <c r="N24">
        <v>140.06995599999999</v>
      </c>
      <c r="O24">
        <v>112.055965</v>
      </c>
      <c r="P24">
        <v>254.60326900000001</v>
      </c>
      <c r="Q24">
        <v>232.92227399999999</v>
      </c>
      <c r="R24">
        <v>28.304324999999999</v>
      </c>
      <c r="S24">
        <v>270.77354200000002</v>
      </c>
      <c r="T24">
        <v>242.46921599999999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>
        <v>0.45</v>
      </c>
      <c r="AJ24">
        <v>0.54</v>
      </c>
      <c r="AK24">
        <v>6.99</v>
      </c>
      <c r="AL24">
        <v>6.72</v>
      </c>
      <c r="AM24">
        <v>0.36</v>
      </c>
      <c r="AN24">
        <v>0.39</v>
      </c>
    </row>
    <row r="25" spans="1:40" x14ac:dyDescent="0.25">
      <c r="A25" s="9" t="s">
        <v>0</v>
      </c>
      <c r="B25" s="9">
        <v>172</v>
      </c>
      <c r="C25" s="9" t="s">
        <v>113</v>
      </c>
      <c r="D25" s="9"/>
      <c r="E25" s="9"/>
      <c r="F25">
        <v>1.4964390000000001</v>
      </c>
      <c r="G25">
        <v>23.847836999999998</v>
      </c>
      <c r="H25">
        <v>3.440131</v>
      </c>
      <c r="I25">
        <v>1.9562189999999999</v>
      </c>
      <c r="J25">
        <v>70.769847999999996</v>
      </c>
      <c r="K25">
        <v>75.317730999999995</v>
      </c>
      <c r="L25">
        <v>39.361702000000001</v>
      </c>
      <c r="M25">
        <v>43.135331999999998</v>
      </c>
      <c r="N25">
        <v>94.656880000000001</v>
      </c>
      <c r="O25">
        <v>75.725504000000001</v>
      </c>
      <c r="P25">
        <v>55.877554000000003</v>
      </c>
      <c r="Q25">
        <v>16.333093999999999</v>
      </c>
      <c r="R25">
        <v>36.788600000000002</v>
      </c>
      <c r="S25">
        <v>48.844541</v>
      </c>
      <c r="T25">
        <v>12.055941000000001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>
        <v>0.73565400000000003</v>
      </c>
      <c r="AJ25">
        <v>1.258356</v>
      </c>
      <c r="AK25">
        <v>3.6395529999999998</v>
      </c>
      <c r="AL25">
        <v>2.206963</v>
      </c>
      <c r="AM25">
        <v>0.79373199999999999</v>
      </c>
      <c r="AN25">
        <v>1.2196370000000001</v>
      </c>
    </row>
    <row r="26" spans="1:40" x14ac:dyDescent="0.25">
      <c r="A26" s="9" t="s">
        <v>0</v>
      </c>
      <c r="B26" s="9">
        <v>171</v>
      </c>
      <c r="C26" s="9" t="s">
        <v>113</v>
      </c>
      <c r="D26" s="9"/>
      <c r="E26" s="9"/>
      <c r="F26">
        <v>1.6371199999999999</v>
      </c>
      <c r="G26">
        <v>21.553294000000001</v>
      </c>
      <c r="H26">
        <v>4.0397299999999996</v>
      </c>
      <c r="I26">
        <v>2.7849430000000002</v>
      </c>
      <c r="J26">
        <v>57.056595000000002</v>
      </c>
      <c r="K26">
        <v>59.354534000000001</v>
      </c>
      <c r="L26">
        <v>29.447846999999999</v>
      </c>
      <c r="M26">
        <v>31.061169</v>
      </c>
      <c r="N26">
        <v>124.33072799999999</v>
      </c>
      <c r="O26">
        <v>99.464581999999993</v>
      </c>
      <c r="P26">
        <v>65.747225</v>
      </c>
      <c r="Q26">
        <v>28.234096999999998</v>
      </c>
      <c r="R26">
        <v>42.589309999999998</v>
      </c>
      <c r="S26">
        <v>71.754096000000004</v>
      </c>
      <c r="T26">
        <v>29.164787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>
        <v>0.90825900000000004</v>
      </c>
      <c r="AJ26">
        <v>1.0755699999999999</v>
      </c>
      <c r="AK26">
        <v>3.8959519999999999</v>
      </c>
      <c r="AL26">
        <v>2.748678</v>
      </c>
      <c r="AM26">
        <v>0.81265299999999996</v>
      </c>
      <c r="AN26">
        <v>1.171176</v>
      </c>
    </row>
    <row r="27" spans="1:40" x14ac:dyDescent="0.25">
      <c r="A27" s="9" t="s">
        <v>0</v>
      </c>
      <c r="B27" s="9">
        <v>169</v>
      </c>
      <c r="C27" s="9" t="s">
        <v>114</v>
      </c>
      <c r="D27" s="9"/>
      <c r="E27" s="9"/>
      <c r="F27">
        <v>1.5972440000000001</v>
      </c>
      <c r="G27">
        <v>20.943435000000001</v>
      </c>
      <c r="H27">
        <v>4.0896509999999999</v>
      </c>
      <c r="I27">
        <v>2.8927049999999999</v>
      </c>
      <c r="J27">
        <v>55.218018999999998</v>
      </c>
      <c r="K27">
        <v>56.609346000000002</v>
      </c>
      <c r="L27">
        <v>28.316322</v>
      </c>
      <c r="M27">
        <v>29.267685</v>
      </c>
      <c r="N27">
        <v>124.495704</v>
      </c>
      <c r="O27">
        <v>99.596563000000003</v>
      </c>
      <c r="P27">
        <v>71.218650999999994</v>
      </c>
      <c r="Q27">
        <v>31.893122999999999</v>
      </c>
      <c r="R27">
        <v>41.767609</v>
      </c>
      <c r="S27">
        <v>73.782179999999997</v>
      </c>
      <c r="T27">
        <v>32.014570999999997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>
        <v>0.85311800000000004</v>
      </c>
      <c r="AJ27">
        <v>1.2745379999999999</v>
      </c>
      <c r="AK27">
        <v>4.029185</v>
      </c>
      <c r="AL27">
        <v>2.8882680000000001</v>
      </c>
      <c r="AM27">
        <v>0.80172600000000005</v>
      </c>
      <c r="AN27">
        <v>1.0381320000000001</v>
      </c>
    </row>
    <row r="28" spans="1:40" x14ac:dyDescent="0.25">
      <c r="A28" s="9" t="s">
        <v>0</v>
      </c>
      <c r="B28" s="9">
        <v>170</v>
      </c>
      <c r="C28" s="9" t="s">
        <v>114</v>
      </c>
      <c r="D28" s="9"/>
      <c r="E28" s="9"/>
      <c r="F28">
        <v>1.755028</v>
      </c>
      <c r="G28">
        <v>22.651385999999999</v>
      </c>
      <c r="H28">
        <v>4.0120649999999998</v>
      </c>
      <c r="I28">
        <v>2.6936870000000002</v>
      </c>
      <c r="J28">
        <v>59.523296000000002</v>
      </c>
      <c r="K28">
        <v>61.905614</v>
      </c>
      <c r="L28">
        <v>31.147554</v>
      </c>
      <c r="M28">
        <v>32.860331000000002</v>
      </c>
      <c r="N28">
        <v>97.951548000000003</v>
      </c>
      <c r="O28">
        <v>78.361238</v>
      </c>
      <c r="P28">
        <v>67.592865000000003</v>
      </c>
      <c r="Q28">
        <v>27.359363999999999</v>
      </c>
      <c r="R28">
        <v>43.649220999999997</v>
      </c>
      <c r="S28">
        <v>70.509309999999999</v>
      </c>
      <c r="T28">
        <v>26.860088999999999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>
        <v>0.64615400000000001</v>
      </c>
      <c r="AJ28">
        <v>0.92615400000000003</v>
      </c>
      <c r="AK28">
        <v>3.9415390000000001</v>
      </c>
      <c r="AL28">
        <v>2.7138460000000002</v>
      </c>
      <c r="AM28">
        <v>0.77538499999999999</v>
      </c>
      <c r="AN28">
        <v>1.055385</v>
      </c>
    </row>
    <row r="29" spans="1:40" x14ac:dyDescent="0.25">
      <c r="A29" s="9" t="s">
        <v>59</v>
      </c>
      <c r="B29" s="9">
        <v>172</v>
      </c>
      <c r="C29" s="9" t="s">
        <v>113</v>
      </c>
      <c r="D29" s="9"/>
      <c r="E29" s="9"/>
      <c r="F29">
        <v>1.9944539999999999</v>
      </c>
      <c r="G29">
        <v>14.299045</v>
      </c>
      <c r="H29">
        <v>3.917052</v>
      </c>
      <c r="I29">
        <v>3.2754810000000001</v>
      </c>
      <c r="J29">
        <v>43.479762999999998</v>
      </c>
      <c r="K29">
        <v>34.857844999999998</v>
      </c>
      <c r="L29">
        <v>21.142862999999998</v>
      </c>
      <c r="M29">
        <v>16.378916</v>
      </c>
      <c r="N29">
        <v>227.224379</v>
      </c>
      <c r="O29">
        <v>181.77950300000001</v>
      </c>
      <c r="P29">
        <v>70.871679</v>
      </c>
      <c r="Q29">
        <v>40.056840999999999</v>
      </c>
      <c r="R29">
        <v>23.216089</v>
      </c>
      <c r="S29">
        <v>66.602192000000002</v>
      </c>
      <c r="T29">
        <v>43.386104000000003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>
        <v>1.3556189999999999</v>
      </c>
      <c r="AJ29">
        <v>1.562408</v>
      </c>
      <c r="AK29">
        <v>4.0209029999999997</v>
      </c>
      <c r="AL29">
        <v>3.1707689999999999</v>
      </c>
      <c r="AM29">
        <v>1.1718059999999999</v>
      </c>
      <c r="AN29">
        <v>1.4934780000000001</v>
      </c>
    </row>
    <row r="30" spans="1:40" x14ac:dyDescent="0.25">
      <c r="A30" s="9" t="s">
        <v>59</v>
      </c>
      <c r="B30" s="9">
        <v>171</v>
      </c>
      <c r="C30" s="9" t="s">
        <v>113</v>
      </c>
      <c r="D30" s="9"/>
      <c r="E30" s="9"/>
      <c r="F30">
        <v>2.094427</v>
      </c>
      <c r="G30">
        <v>18.960152999999998</v>
      </c>
      <c r="H30">
        <v>4.0590109999999999</v>
      </c>
      <c r="I30">
        <v>3.202124</v>
      </c>
      <c r="J30">
        <v>53.231372999999998</v>
      </c>
      <c r="K30">
        <v>43.237825000000001</v>
      </c>
      <c r="L30">
        <v>27.108438</v>
      </c>
      <c r="M30">
        <v>21.110738000000001</v>
      </c>
      <c r="N30">
        <v>110.475691</v>
      </c>
      <c r="O30">
        <v>88.380553000000006</v>
      </c>
      <c r="P30">
        <v>76.830291000000003</v>
      </c>
      <c r="Q30">
        <v>35.932471999999997</v>
      </c>
      <c r="R30">
        <v>31.344293</v>
      </c>
      <c r="S30">
        <v>72.492761000000002</v>
      </c>
      <c r="T30">
        <v>41.148466999999997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>
        <v>0.77691200000000005</v>
      </c>
      <c r="AJ30">
        <v>1.303207</v>
      </c>
      <c r="AK30">
        <v>4.1602360000000003</v>
      </c>
      <c r="AL30">
        <v>3.0324610000000001</v>
      </c>
      <c r="AM30">
        <v>0.67666499999999996</v>
      </c>
      <c r="AN30">
        <v>1.127775</v>
      </c>
    </row>
    <row r="31" spans="1:40" x14ac:dyDescent="0.25">
      <c r="A31" s="9" t="s">
        <v>59</v>
      </c>
      <c r="B31" s="9">
        <v>169</v>
      </c>
      <c r="C31" s="9" t="s">
        <v>114</v>
      </c>
      <c r="D31" s="9"/>
      <c r="E31" s="9"/>
      <c r="F31">
        <v>2.261387</v>
      </c>
      <c r="G31">
        <v>14.945008</v>
      </c>
      <c r="H31">
        <v>4.4989939999999997</v>
      </c>
      <c r="I31">
        <v>3.8734069999999998</v>
      </c>
      <c r="J31">
        <v>28.492172</v>
      </c>
      <c r="K31">
        <v>29.846374999999998</v>
      </c>
      <c r="L31">
        <v>13.2653</v>
      </c>
      <c r="M31">
        <v>13.905044</v>
      </c>
      <c r="N31">
        <v>153.18432100000001</v>
      </c>
      <c r="O31">
        <v>122.54745699999999</v>
      </c>
      <c r="P31">
        <v>100.003415</v>
      </c>
      <c r="Q31">
        <v>71.510270000000006</v>
      </c>
      <c r="R31">
        <v>27.588486</v>
      </c>
      <c r="S31">
        <v>92.434962999999996</v>
      </c>
      <c r="T31">
        <v>64.846478000000005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>
        <v>1.0209029999999999</v>
      </c>
      <c r="AJ31">
        <v>1.210839</v>
      </c>
      <c r="AK31">
        <v>4.6534190000000004</v>
      </c>
      <c r="AL31">
        <v>4.0361289999999999</v>
      </c>
      <c r="AM31">
        <v>0.59354799999999996</v>
      </c>
      <c r="AN31">
        <v>0.71225799999999995</v>
      </c>
    </row>
    <row r="32" spans="1:40" x14ac:dyDescent="0.25">
      <c r="A32" s="9" t="s">
        <v>59</v>
      </c>
      <c r="B32" s="9">
        <v>170</v>
      </c>
      <c r="C32" s="9" t="s">
        <v>114</v>
      </c>
      <c r="D32" s="9"/>
      <c r="E32" s="9"/>
      <c r="F32">
        <v>2.4754320000000001</v>
      </c>
      <c r="G32">
        <v>12.069545</v>
      </c>
      <c r="H32">
        <v>4.3504269999999998</v>
      </c>
      <c r="I32">
        <v>3.8819279999999998</v>
      </c>
      <c r="J32">
        <v>21.912911999999999</v>
      </c>
      <c r="K32">
        <v>23.640307</v>
      </c>
      <c r="L32">
        <v>9.9415279999999999</v>
      </c>
      <c r="M32">
        <v>10.76904</v>
      </c>
      <c r="N32">
        <v>164.23787799999999</v>
      </c>
      <c r="O32">
        <v>131.39030199999999</v>
      </c>
      <c r="P32">
        <v>90.261903000000004</v>
      </c>
      <c r="Q32">
        <v>70.482892000000007</v>
      </c>
      <c r="R32">
        <v>20.193020000000001</v>
      </c>
      <c r="S32">
        <v>85.417755</v>
      </c>
      <c r="T32">
        <v>65.224734999999995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>
        <v>1.0940719999999999</v>
      </c>
      <c r="AJ32">
        <v>1.302467</v>
      </c>
      <c r="AK32">
        <v>4.4544360000000003</v>
      </c>
      <c r="AL32">
        <v>4.0115970000000001</v>
      </c>
      <c r="AM32">
        <v>0.70333199999999996</v>
      </c>
      <c r="AN32">
        <v>0.52098699999999998</v>
      </c>
    </row>
    <row r="33" spans="1:40" x14ac:dyDescent="0.25">
      <c r="A33" s="9" t="s">
        <v>96</v>
      </c>
      <c r="B33" s="9">
        <v>172</v>
      </c>
      <c r="C33" s="9" t="s">
        <v>113</v>
      </c>
      <c r="D33" s="9"/>
      <c r="E33" s="9"/>
      <c r="F33">
        <v>2.7030310000000002</v>
      </c>
      <c r="G33">
        <v>9.6682319999999997</v>
      </c>
      <c r="H33">
        <v>5.1495980000000001</v>
      </c>
      <c r="I33">
        <v>4.8636109999999997</v>
      </c>
      <c r="J33">
        <v>14.273960000000001</v>
      </c>
      <c r="K33">
        <v>12.428234</v>
      </c>
      <c r="L33">
        <v>6.4102410000000001</v>
      </c>
      <c r="M33">
        <v>5.5535750000000004</v>
      </c>
      <c r="N33">
        <v>116.601457</v>
      </c>
      <c r="O33">
        <v>93.281165999999999</v>
      </c>
      <c r="P33">
        <v>127.12345999999999</v>
      </c>
      <c r="Q33">
        <v>108.977908</v>
      </c>
      <c r="R33">
        <v>15.737463999999999</v>
      </c>
      <c r="S33">
        <v>126.626715</v>
      </c>
      <c r="T33">
        <v>110.889251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>
        <v>0.66134199999999999</v>
      </c>
      <c r="AJ33">
        <v>0.68779500000000005</v>
      </c>
      <c r="AK33">
        <v>5.1584640000000004</v>
      </c>
      <c r="AL33">
        <v>4.8277939999999999</v>
      </c>
      <c r="AM33">
        <v>0.46293899999999999</v>
      </c>
      <c r="AN33">
        <v>0.5423</v>
      </c>
    </row>
    <row r="34" spans="1:40" x14ac:dyDescent="0.25">
      <c r="A34" s="9" t="s">
        <v>96</v>
      </c>
      <c r="B34" s="9">
        <v>171</v>
      </c>
      <c r="C34" s="9" t="s">
        <v>113</v>
      </c>
      <c r="D34" s="9"/>
      <c r="E34" s="9"/>
      <c r="F34">
        <v>2.7419250000000002</v>
      </c>
      <c r="G34">
        <v>13.885641</v>
      </c>
      <c r="H34">
        <v>4.671881</v>
      </c>
      <c r="I34">
        <v>4.1791140000000002</v>
      </c>
      <c r="J34">
        <v>28.919097000000001</v>
      </c>
      <c r="K34">
        <v>23.062625000000001</v>
      </c>
      <c r="L34">
        <v>13.513515999999999</v>
      </c>
      <c r="M34">
        <v>10.547508000000001</v>
      </c>
      <c r="N34">
        <v>164.252724</v>
      </c>
      <c r="O34">
        <v>131.40217899999999</v>
      </c>
      <c r="P34">
        <v>105.898692</v>
      </c>
      <c r="Q34">
        <v>75.273747</v>
      </c>
      <c r="R34">
        <v>23.278506</v>
      </c>
      <c r="S34">
        <v>100.936065</v>
      </c>
      <c r="T34">
        <v>77.657559000000006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>
        <v>0.54132899999999995</v>
      </c>
      <c r="AJ34">
        <v>0.64444000000000001</v>
      </c>
      <c r="AK34">
        <v>4.7688550000000003</v>
      </c>
      <c r="AL34">
        <v>4.1244149999999999</v>
      </c>
      <c r="AM34">
        <v>1.108436</v>
      </c>
      <c r="AN34">
        <v>1.3919900000000001</v>
      </c>
    </row>
    <row r="35" spans="1:40" x14ac:dyDescent="0.25">
      <c r="A35" s="9" t="s">
        <v>96</v>
      </c>
      <c r="B35" s="9">
        <v>169</v>
      </c>
      <c r="C35" s="9" t="s">
        <v>114</v>
      </c>
      <c r="D35" s="9"/>
      <c r="E35" s="9"/>
      <c r="F35">
        <v>2.4242080000000001</v>
      </c>
      <c r="G35">
        <v>10.803356000000001</v>
      </c>
      <c r="H35">
        <v>5.396236</v>
      </c>
      <c r="I35">
        <v>5.0414440000000003</v>
      </c>
      <c r="J35">
        <v>12.392168</v>
      </c>
      <c r="K35">
        <v>14.563565000000001</v>
      </c>
      <c r="L35">
        <v>5.5555479999999999</v>
      </c>
      <c r="M35">
        <v>6.5747960000000001</v>
      </c>
      <c r="N35">
        <v>115.463363</v>
      </c>
      <c r="O35">
        <v>92.370689999999996</v>
      </c>
      <c r="P35">
        <v>140.11578800000001</v>
      </c>
      <c r="Q35">
        <v>122.752404</v>
      </c>
      <c r="R35">
        <v>20.547384000000001</v>
      </c>
      <c r="S35">
        <v>141.08759699999999</v>
      </c>
      <c r="T35">
        <v>120.54021400000001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>
        <v>0.79705400000000004</v>
      </c>
      <c r="AJ35">
        <v>0.87177800000000005</v>
      </c>
      <c r="AK35">
        <v>5.3801170000000003</v>
      </c>
      <c r="AL35">
        <v>5.0812220000000003</v>
      </c>
      <c r="AM35">
        <v>0.24907899999999999</v>
      </c>
      <c r="AN35">
        <v>0.32380300000000001</v>
      </c>
    </row>
    <row r="36" spans="1:40" x14ac:dyDescent="0.25">
      <c r="A36" s="9" t="s">
        <v>96</v>
      </c>
      <c r="B36" s="9">
        <v>170</v>
      </c>
      <c r="C36" s="9" t="s">
        <v>114</v>
      </c>
      <c r="D36" s="9"/>
      <c r="E36" s="9"/>
      <c r="F36">
        <v>2.386952</v>
      </c>
      <c r="G36">
        <v>6.5070449999999997</v>
      </c>
      <c r="H36">
        <v>5.6000040000000002</v>
      </c>
      <c r="I36">
        <v>5.3898840000000003</v>
      </c>
      <c r="J36">
        <v>6.0029680000000001</v>
      </c>
      <c r="K36">
        <v>8.4489900000000002</v>
      </c>
      <c r="L36">
        <v>2.6505999999999998</v>
      </c>
      <c r="M36">
        <v>3.752132</v>
      </c>
      <c r="N36">
        <v>116.68764899999999</v>
      </c>
      <c r="O36">
        <v>93.350119000000007</v>
      </c>
      <c r="P36">
        <v>150.91132099999999</v>
      </c>
      <c r="Q36">
        <v>141.85216299999999</v>
      </c>
      <c r="R36">
        <v>12.98517</v>
      </c>
      <c r="S36">
        <v>153.68902</v>
      </c>
      <c r="T36">
        <v>140.70384999999999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>
        <v>0.56231200000000003</v>
      </c>
      <c r="AJ36">
        <v>0.65603100000000003</v>
      </c>
      <c r="AK36">
        <v>5.5561769999999999</v>
      </c>
      <c r="AL36">
        <v>5.4089049999999999</v>
      </c>
      <c r="AM36">
        <v>0.44181599999999999</v>
      </c>
      <c r="AN36">
        <v>0.53553499999999998</v>
      </c>
    </row>
    <row r="37" spans="1:40" x14ac:dyDescent="0.25">
      <c r="A37" s="9" t="s">
        <v>95</v>
      </c>
      <c r="B37" s="9">
        <v>172</v>
      </c>
      <c r="C37" s="9" t="s">
        <v>113</v>
      </c>
      <c r="D37" s="9"/>
      <c r="E37" s="9"/>
      <c r="F37">
        <v>2.9514469999999999</v>
      </c>
      <c r="G37">
        <v>16.003874</v>
      </c>
      <c r="H37">
        <v>5.4442849999999998</v>
      </c>
      <c r="I37">
        <v>4.9998699999999996</v>
      </c>
      <c r="J37">
        <v>16.484947999999999</v>
      </c>
      <c r="K37">
        <v>17.894570999999999</v>
      </c>
      <c r="L37">
        <v>7.4817010000000002</v>
      </c>
      <c r="M37">
        <v>8.1629640000000006</v>
      </c>
      <c r="N37">
        <v>107.010311</v>
      </c>
      <c r="O37">
        <v>85.608249000000001</v>
      </c>
      <c r="P37">
        <v>140.57640699999999</v>
      </c>
      <c r="Q37">
        <v>117.40246</v>
      </c>
      <c r="R37">
        <v>25.769202</v>
      </c>
      <c r="S37">
        <v>144.00569300000001</v>
      </c>
      <c r="T37">
        <v>118.236491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>
        <v>0.45904800000000001</v>
      </c>
      <c r="AJ37">
        <v>0.58112200000000003</v>
      </c>
      <c r="AK37">
        <v>5.387772</v>
      </c>
      <c r="AL37">
        <v>4.9846750000000002</v>
      </c>
      <c r="AM37">
        <v>0.51944900000000005</v>
      </c>
      <c r="AN37">
        <v>0.677763</v>
      </c>
    </row>
    <row r="38" spans="1:40" x14ac:dyDescent="0.25">
      <c r="A38" s="9" t="s">
        <v>95</v>
      </c>
      <c r="B38" s="9">
        <v>171</v>
      </c>
      <c r="C38" s="9" t="s">
        <v>113</v>
      </c>
      <c r="D38" s="9"/>
      <c r="E38" s="9"/>
      <c r="F38">
        <v>2.9395289999999998</v>
      </c>
      <c r="G38">
        <v>22.062092</v>
      </c>
      <c r="H38">
        <v>5.0182390000000003</v>
      </c>
      <c r="I38">
        <v>4.2546059999999999</v>
      </c>
      <c r="J38">
        <v>22.884202999999999</v>
      </c>
      <c r="K38">
        <v>32.062911</v>
      </c>
      <c r="L38">
        <v>10.582008999999999</v>
      </c>
      <c r="M38">
        <v>15.217155999999999</v>
      </c>
      <c r="N38">
        <v>161.3535</v>
      </c>
      <c r="O38">
        <v>129.08279999999999</v>
      </c>
      <c r="P38">
        <v>136.06925699999999</v>
      </c>
      <c r="Q38">
        <v>104.930892</v>
      </c>
      <c r="R38">
        <v>38.236874</v>
      </c>
      <c r="S38">
        <v>119.25577800000001</v>
      </c>
      <c r="T38">
        <v>81.018904000000006</v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>
        <v>0.73079099999999997</v>
      </c>
      <c r="AJ38">
        <v>0.78700599999999998</v>
      </c>
      <c r="AK38">
        <v>5.31229</v>
      </c>
      <c r="AL38">
        <v>4.7501429999999996</v>
      </c>
      <c r="AM38">
        <v>0.67457699999999998</v>
      </c>
      <c r="AN38">
        <v>0.89943499999999998</v>
      </c>
    </row>
    <row r="39" spans="1:40" x14ac:dyDescent="0.25">
      <c r="A39" s="9" t="s">
        <v>95</v>
      </c>
      <c r="B39" s="9">
        <v>169</v>
      </c>
      <c r="C39" s="9" t="s">
        <v>114</v>
      </c>
      <c r="D39" s="9"/>
      <c r="E39" s="9"/>
      <c r="F39">
        <v>2.4071129999999998</v>
      </c>
      <c r="G39">
        <v>14.40682</v>
      </c>
      <c r="H39">
        <v>5.21366</v>
      </c>
      <c r="I39">
        <v>4.7905699999999998</v>
      </c>
      <c r="J39">
        <v>16.224954</v>
      </c>
      <c r="K39">
        <v>17.874881999999999</v>
      </c>
      <c r="L39">
        <v>7.3298410000000001</v>
      </c>
      <c r="M39">
        <v>8.1150169999999999</v>
      </c>
      <c r="N39">
        <v>113.166878</v>
      </c>
      <c r="O39">
        <v>90.533501999999999</v>
      </c>
      <c r="P39">
        <v>127.42503000000001</v>
      </c>
      <c r="Q39">
        <v>106.750377</v>
      </c>
      <c r="R39">
        <v>23.295828</v>
      </c>
      <c r="S39">
        <v>130.32717</v>
      </c>
      <c r="T39">
        <v>107.03134300000001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>
        <v>0.52718799999999999</v>
      </c>
      <c r="AJ39">
        <v>0.68940000000000001</v>
      </c>
      <c r="AK39">
        <v>5.1637409999999999</v>
      </c>
      <c r="AL39">
        <v>4.785247</v>
      </c>
      <c r="AM39">
        <v>0.56774100000000005</v>
      </c>
      <c r="AN39">
        <v>0.58125899999999997</v>
      </c>
    </row>
    <row r="40" spans="1:40" x14ac:dyDescent="0.25">
      <c r="A40" s="9" t="s">
        <v>95</v>
      </c>
      <c r="B40" s="9">
        <v>170</v>
      </c>
      <c r="C40" s="9" t="s">
        <v>114</v>
      </c>
      <c r="D40" s="9"/>
      <c r="E40" s="9"/>
      <c r="F40">
        <v>2.4642810000000002</v>
      </c>
      <c r="G40">
        <v>15.953863</v>
      </c>
      <c r="H40">
        <v>5.9682399999999998</v>
      </c>
      <c r="I40">
        <v>5.515307</v>
      </c>
      <c r="J40">
        <v>15.111034999999999</v>
      </c>
      <c r="K40">
        <v>16.560137000000001</v>
      </c>
      <c r="L40">
        <v>6.9605670000000002</v>
      </c>
      <c r="M40">
        <v>7.5890630000000003</v>
      </c>
      <c r="N40">
        <v>192.993313</v>
      </c>
      <c r="O40">
        <v>154.39465000000001</v>
      </c>
      <c r="P40">
        <v>231.58642</v>
      </c>
      <c r="Q40">
        <v>196.59131400000001</v>
      </c>
      <c r="R40">
        <v>29.449058000000001</v>
      </c>
      <c r="S40">
        <v>177.831006</v>
      </c>
      <c r="T40">
        <v>148.38194799999999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>
        <v>0.59097900000000003</v>
      </c>
      <c r="AJ40">
        <v>0.82425999999999999</v>
      </c>
      <c r="AK40">
        <v>6.7029449999999997</v>
      </c>
      <c r="AL40">
        <v>6.2363819999999999</v>
      </c>
      <c r="AM40">
        <v>0.55987500000000001</v>
      </c>
      <c r="AN40">
        <v>0.69984299999999999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3632-0B70-4A9A-8CBD-F2594810784E}">
  <dimension ref="A1:Y22"/>
  <sheetViews>
    <sheetView topLeftCell="D1" workbookViewId="0">
      <selection activeCell="E2" sqref="E2:Y3"/>
    </sheetView>
  </sheetViews>
  <sheetFormatPr defaultRowHeight="15" x14ac:dyDescent="0.25"/>
  <sheetData>
    <row r="1" spans="1:25" x14ac:dyDescent="0.25">
      <c r="A1" t="s">
        <v>74</v>
      </c>
      <c r="B1" t="s">
        <v>120</v>
      </c>
    </row>
    <row r="2" spans="1:25" x14ac:dyDescent="0.25">
      <c r="A2" t="s">
        <v>75</v>
      </c>
      <c r="B2" t="s">
        <v>121</v>
      </c>
      <c r="E2" t="s">
        <v>120</v>
      </c>
      <c r="F2" t="s">
        <v>121</v>
      </c>
      <c r="G2" t="s">
        <v>122</v>
      </c>
      <c r="H2" t="s">
        <v>123</v>
      </c>
      <c r="I2" t="s">
        <v>30</v>
      </c>
      <c r="J2" t="s">
        <v>124</v>
      </c>
      <c r="K2" t="s">
        <v>32</v>
      </c>
      <c r="L2" t="s">
        <v>125</v>
      </c>
      <c r="M2" t="s">
        <v>126</v>
      </c>
      <c r="N2" t="s">
        <v>127</v>
      </c>
      <c r="O2" t="s">
        <v>128</v>
      </c>
      <c r="P2" t="s">
        <v>129</v>
      </c>
      <c r="Q2" t="s">
        <v>130</v>
      </c>
      <c r="R2" t="s">
        <v>131</v>
      </c>
      <c r="S2" t="s">
        <v>132</v>
      </c>
      <c r="T2" t="s">
        <v>156</v>
      </c>
      <c r="U2" t="s">
        <v>157</v>
      </c>
      <c r="V2" t="s">
        <v>158</v>
      </c>
      <c r="W2" t="s">
        <v>159</v>
      </c>
      <c r="X2" t="s">
        <v>160</v>
      </c>
      <c r="Y2" t="s">
        <v>161</v>
      </c>
    </row>
    <row r="3" spans="1:25" x14ac:dyDescent="0.25">
      <c r="A3" t="s">
        <v>186</v>
      </c>
      <c r="B3" t="s">
        <v>122</v>
      </c>
      <c r="E3" t="s">
        <v>74</v>
      </c>
      <c r="F3" t="s">
        <v>75</v>
      </c>
      <c r="G3" t="s">
        <v>186</v>
      </c>
      <c r="H3" t="s">
        <v>187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182</v>
      </c>
      <c r="P3" t="s">
        <v>183</v>
      </c>
      <c r="Q3" t="s">
        <v>86</v>
      </c>
      <c r="R3" t="s">
        <v>184</v>
      </c>
      <c r="S3" t="s">
        <v>185</v>
      </c>
      <c r="T3" t="s">
        <v>195</v>
      </c>
      <c r="U3" t="s">
        <v>196</v>
      </c>
      <c r="V3" t="s">
        <v>197</v>
      </c>
      <c r="W3" t="s">
        <v>198</v>
      </c>
      <c r="X3" t="s">
        <v>199</v>
      </c>
      <c r="Y3" t="s">
        <v>200</v>
      </c>
    </row>
    <row r="4" spans="1:25" x14ac:dyDescent="0.25">
      <c r="A4" t="s">
        <v>187</v>
      </c>
      <c r="B4" t="s">
        <v>123</v>
      </c>
    </row>
    <row r="5" spans="1:25" x14ac:dyDescent="0.25">
      <c r="A5" t="s">
        <v>78</v>
      </c>
      <c r="B5" t="s">
        <v>30</v>
      </c>
    </row>
    <row r="6" spans="1:25" x14ac:dyDescent="0.25">
      <c r="A6" t="s">
        <v>79</v>
      </c>
      <c r="B6" t="s">
        <v>124</v>
      </c>
    </row>
    <row r="7" spans="1:25" x14ac:dyDescent="0.25">
      <c r="A7" t="s">
        <v>80</v>
      </c>
      <c r="B7" t="s">
        <v>32</v>
      </c>
    </row>
    <row r="8" spans="1:25" x14ac:dyDescent="0.25">
      <c r="A8" t="s">
        <v>81</v>
      </c>
      <c r="B8" t="s">
        <v>125</v>
      </c>
    </row>
    <row r="9" spans="1:25" x14ac:dyDescent="0.25">
      <c r="A9" t="s">
        <v>82</v>
      </c>
      <c r="B9" t="s">
        <v>126</v>
      </c>
    </row>
    <row r="10" spans="1:25" x14ac:dyDescent="0.25">
      <c r="A10" t="s">
        <v>83</v>
      </c>
      <c r="B10" t="s">
        <v>127</v>
      </c>
    </row>
    <row r="11" spans="1:25" x14ac:dyDescent="0.25">
      <c r="A11" t="s">
        <v>182</v>
      </c>
      <c r="B11" t="s">
        <v>128</v>
      </c>
    </row>
    <row r="12" spans="1:25" x14ac:dyDescent="0.25">
      <c r="A12" t="s">
        <v>183</v>
      </c>
      <c r="B12" t="s">
        <v>129</v>
      </c>
    </row>
    <row r="13" spans="1:25" x14ac:dyDescent="0.25">
      <c r="A13" t="s">
        <v>86</v>
      </c>
      <c r="B13" t="s">
        <v>130</v>
      </c>
    </row>
    <row r="14" spans="1:25" x14ac:dyDescent="0.25">
      <c r="A14" t="s">
        <v>184</v>
      </c>
      <c r="B14" t="s">
        <v>131</v>
      </c>
    </row>
    <row r="15" spans="1:25" x14ac:dyDescent="0.25">
      <c r="A15" t="s">
        <v>185</v>
      </c>
      <c r="B15" t="s">
        <v>132</v>
      </c>
    </row>
    <row r="16" spans="1:25" x14ac:dyDescent="0.25">
      <c r="A16" t="s">
        <v>195</v>
      </c>
      <c r="B16" t="s">
        <v>156</v>
      </c>
    </row>
    <row r="17" spans="1:2" x14ac:dyDescent="0.25">
      <c r="A17" t="s">
        <v>196</v>
      </c>
      <c r="B17" t="s">
        <v>157</v>
      </c>
    </row>
    <row r="18" spans="1:2" x14ac:dyDescent="0.25">
      <c r="A18" t="s">
        <v>147</v>
      </c>
    </row>
    <row r="19" spans="1:2" x14ac:dyDescent="0.25">
      <c r="A19" t="s">
        <v>197</v>
      </c>
      <c r="B19" t="s">
        <v>158</v>
      </c>
    </row>
    <row r="20" spans="1:2" x14ac:dyDescent="0.25">
      <c r="A20" t="s">
        <v>198</v>
      </c>
      <c r="B20" t="s">
        <v>159</v>
      </c>
    </row>
    <row r="21" spans="1:2" x14ac:dyDescent="0.25">
      <c r="A21" t="s">
        <v>199</v>
      </c>
      <c r="B21" t="s">
        <v>160</v>
      </c>
    </row>
    <row r="22" spans="1:2" x14ac:dyDescent="0.25">
      <c r="A22" t="s">
        <v>200</v>
      </c>
      <c r="B22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A93D-B043-40B3-9FA0-C14253490ABC}">
  <dimension ref="A1:AL48"/>
  <sheetViews>
    <sheetView tabSelected="1" zoomScaleNormal="100" workbookViewId="0">
      <selection activeCell="D11" sqref="D11"/>
    </sheetView>
  </sheetViews>
  <sheetFormatPr defaultRowHeight="15" x14ac:dyDescent="0.25"/>
  <cols>
    <col min="1" max="1" width="9.140625" style="1"/>
    <col min="2" max="2" width="8.42578125" bestFit="1" customWidth="1"/>
    <col min="3" max="3" width="21.85546875" bestFit="1" customWidth="1"/>
    <col min="4" max="4" width="27" bestFit="1" customWidth="1"/>
    <col min="5" max="5" width="26.7109375" bestFit="1" customWidth="1"/>
    <col min="6" max="6" width="6.42578125" bestFit="1" customWidth="1"/>
    <col min="7" max="7" width="15.7109375" bestFit="1" customWidth="1"/>
    <col min="8" max="8" width="6.42578125" bestFit="1" customWidth="1"/>
    <col min="9" max="9" width="15.7109375" bestFit="1" customWidth="1"/>
    <col min="10" max="10" width="13.28515625" bestFit="1" customWidth="1"/>
    <col min="11" max="11" width="24.85546875" bestFit="1" customWidth="1"/>
    <col min="12" max="12" width="13.28515625" bestFit="1" customWidth="1"/>
    <col min="13" max="13" width="12.85546875" bestFit="1" customWidth="1"/>
    <col min="14" max="14" width="16.42578125" bestFit="1" customWidth="1"/>
    <col min="15" max="15" width="17.7109375" bestFit="1" customWidth="1"/>
    <col min="16" max="16" width="17.42578125" bestFit="1" customWidth="1"/>
    <col min="17" max="17" width="17.5703125" bestFit="1" customWidth="1"/>
    <col min="18" max="18" width="17.28515625" bestFit="1" customWidth="1"/>
    <col min="19" max="19" width="18.7109375" bestFit="1" customWidth="1"/>
    <col min="20" max="20" width="18.42578125" bestFit="1" customWidth="1"/>
    <col min="21" max="21" width="19.85546875" bestFit="1" customWidth="1"/>
    <col min="22" max="22" width="19.5703125" bestFit="1" customWidth="1"/>
    <col min="23" max="37" width="3" bestFit="1" customWidth="1"/>
  </cols>
  <sheetData>
    <row r="1" spans="1:37" x14ac:dyDescent="0.25">
      <c r="A1" s="15" t="s">
        <v>209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14">
        <v>13</v>
      </c>
      <c r="O1" s="14">
        <v>14</v>
      </c>
      <c r="P1" s="14">
        <v>15</v>
      </c>
      <c r="Q1" s="14">
        <v>16</v>
      </c>
      <c r="R1" s="14">
        <v>17</v>
      </c>
      <c r="S1" s="14">
        <v>18</v>
      </c>
      <c r="T1" s="14">
        <v>19</v>
      </c>
      <c r="U1" s="14">
        <v>20</v>
      </c>
      <c r="V1" s="14">
        <v>21</v>
      </c>
      <c r="W1" s="14">
        <v>22</v>
      </c>
      <c r="X1" s="14">
        <v>23</v>
      </c>
      <c r="Y1" s="14">
        <v>24</v>
      </c>
      <c r="Z1" s="14">
        <v>25</v>
      </c>
      <c r="AA1" s="14">
        <v>26</v>
      </c>
      <c r="AB1" s="14">
        <v>27</v>
      </c>
      <c r="AC1" s="14">
        <v>28</v>
      </c>
      <c r="AD1" s="14">
        <v>29</v>
      </c>
      <c r="AE1" s="14">
        <v>30</v>
      </c>
      <c r="AF1" s="14">
        <v>31</v>
      </c>
      <c r="AG1" s="14">
        <v>32</v>
      </c>
      <c r="AH1" s="14">
        <v>33</v>
      </c>
      <c r="AI1" s="14">
        <v>34</v>
      </c>
      <c r="AJ1" s="14">
        <v>35</v>
      </c>
      <c r="AK1" s="14">
        <v>36</v>
      </c>
    </row>
    <row r="2" spans="1:37" x14ac:dyDescent="0.25">
      <c r="A2" s="15" t="s">
        <v>208</v>
      </c>
      <c r="B2" s="14" t="s">
        <v>120</v>
      </c>
      <c r="C2" s="14" t="s">
        <v>121</v>
      </c>
      <c r="D2" s="14" t="s">
        <v>122</v>
      </c>
      <c r="E2" s="14" t="s">
        <v>123</v>
      </c>
      <c r="F2" s="14" t="s">
        <v>30</v>
      </c>
      <c r="G2" s="14" t="s">
        <v>124</v>
      </c>
      <c r="H2" s="14" t="s">
        <v>32</v>
      </c>
      <c r="I2" s="14" t="s">
        <v>125</v>
      </c>
      <c r="J2" s="14" t="s">
        <v>126</v>
      </c>
      <c r="K2" s="14" t="s">
        <v>127</v>
      </c>
      <c r="L2" s="14" t="s">
        <v>128</v>
      </c>
      <c r="M2" s="14" t="s">
        <v>129</v>
      </c>
      <c r="N2" s="14" t="s">
        <v>130</v>
      </c>
      <c r="O2" s="14" t="s">
        <v>131</v>
      </c>
      <c r="P2" s="14" t="s">
        <v>132</v>
      </c>
      <c r="Q2" s="14" t="s">
        <v>156</v>
      </c>
      <c r="R2" s="14" t="s">
        <v>157</v>
      </c>
      <c r="S2" s="14" t="s">
        <v>158</v>
      </c>
      <c r="T2" s="14" t="s">
        <v>159</v>
      </c>
      <c r="U2" s="14" t="s">
        <v>160</v>
      </c>
      <c r="V2" s="14" t="s">
        <v>161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37" x14ac:dyDescent="0.25">
      <c r="A3" s="15" t="s">
        <v>210</v>
      </c>
      <c r="B3" s="14" t="s">
        <v>74</v>
      </c>
      <c r="C3" s="14" t="s">
        <v>75</v>
      </c>
      <c r="D3" s="14" t="s">
        <v>186</v>
      </c>
      <c r="E3" s="14" t="s">
        <v>187</v>
      </c>
      <c r="F3" s="14" t="s">
        <v>78</v>
      </c>
      <c r="G3" s="14" t="s">
        <v>79</v>
      </c>
      <c r="H3" s="14" t="s">
        <v>80</v>
      </c>
      <c r="I3" s="14" t="s">
        <v>81</v>
      </c>
      <c r="J3" s="14" t="s">
        <v>82</v>
      </c>
      <c r="K3" s="14" t="s">
        <v>83</v>
      </c>
      <c r="L3" s="14" t="s">
        <v>182</v>
      </c>
      <c r="M3" s="14" t="s">
        <v>183</v>
      </c>
      <c r="N3" s="14" t="s">
        <v>86</v>
      </c>
      <c r="O3" s="14" t="s">
        <v>184</v>
      </c>
      <c r="P3" s="14" t="s">
        <v>185</v>
      </c>
      <c r="Q3" s="14" t="s">
        <v>195</v>
      </c>
      <c r="R3" s="14" t="s">
        <v>196</v>
      </c>
      <c r="S3" s="14" t="s">
        <v>197</v>
      </c>
      <c r="T3" s="14" t="s">
        <v>198</v>
      </c>
      <c r="U3" s="14" t="s">
        <v>199</v>
      </c>
      <c r="V3" s="14" t="s">
        <v>200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5" spans="1:37" x14ac:dyDescent="0.25">
      <c r="A5" s="15" t="s">
        <v>168</v>
      </c>
      <c r="O5" s="13" t="s">
        <v>203</v>
      </c>
    </row>
    <row r="6" spans="1:37" ht="16.5" customHeight="1" x14ac:dyDescent="0.25">
      <c r="A6" s="1">
        <v>1</v>
      </c>
      <c r="B6" t="str">
        <f>CONCATENATE("#",B3)</f>
        <v>#LA (mm)</v>
      </c>
      <c r="O6" t="s">
        <v>171</v>
      </c>
    </row>
    <row r="7" spans="1:37" x14ac:dyDescent="0.25">
      <c r="A7" s="1">
        <v>2</v>
      </c>
      <c r="B7" t="s">
        <v>171</v>
      </c>
      <c r="O7" t="s">
        <v>215</v>
      </c>
    </row>
    <row r="8" spans="1:37" x14ac:dyDescent="0.25">
      <c r="A8" s="1">
        <v>3.1</v>
      </c>
      <c r="B8" t="s">
        <v>165</v>
      </c>
      <c r="O8" t="s">
        <v>216</v>
      </c>
    </row>
    <row r="9" spans="1:37" x14ac:dyDescent="0.25">
      <c r="A9" s="16" t="s">
        <v>211</v>
      </c>
      <c r="B9" t="s">
        <v>120</v>
      </c>
      <c r="O9" t="s">
        <v>217</v>
      </c>
    </row>
    <row r="10" spans="1:37" x14ac:dyDescent="0.25">
      <c r="A10" s="1">
        <v>3.3</v>
      </c>
      <c r="B10" t="s">
        <v>169</v>
      </c>
      <c r="O10" t="s">
        <v>218</v>
      </c>
    </row>
    <row r="11" spans="1:37" x14ac:dyDescent="0.25">
      <c r="A11" s="1">
        <v>4</v>
      </c>
      <c r="B11" t="s">
        <v>162</v>
      </c>
      <c r="O11" t="s">
        <v>219</v>
      </c>
    </row>
    <row r="12" spans="1:37" x14ac:dyDescent="0.25">
      <c r="A12" s="1">
        <v>5.0999999999999996</v>
      </c>
      <c r="B12" t="s">
        <v>166</v>
      </c>
      <c r="O12" t="s">
        <v>220</v>
      </c>
    </row>
    <row r="13" spans="1:37" ht="19.5" customHeight="1" x14ac:dyDescent="0.25">
      <c r="A13" s="16" t="s">
        <v>212</v>
      </c>
      <c r="B13" t="s">
        <v>120</v>
      </c>
      <c r="O13" s="10" t="s">
        <v>172</v>
      </c>
    </row>
    <row r="14" spans="1:37" x14ac:dyDescent="0.25">
      <c r="A14" s="1">
        <v>5.3</v>
      </c>
      <c r="B14" t="s">
        <v>167</v>
      </c>
      <c r="O14" t="s">
        <v>171</v>
      </c>
    </row>
    <row r="15" spans="1:37" x14ac:dyDescent="0.25">
      <c r="A15" s="1">
        <v>6</v>
      </c>
      <c r="B15" t="s">
        <v>163</v>
      </c>
      <c r="O15" t="s">
        <v>204</v>
      </c>
    </row>
    <row r="16" spans="1:37" x14ac:dyDescent="0.25">
      <c r="A16" s="1">
        <v>7</v>
      </c>
      <c r="B16" t="s">
        <v>188</v>
      </c>
      <c r="O16" t="s">
        <v>162</v>
      </c>
    </row>
    <row r="17" spans="1:38" x14ac:dyDescent="0.25">
      <c r="A17" s="1">
        <v>8</v>
      </c>
      <c r="B17" t="s">
        <v>173</v>
      </c>
      <c r="O17" t="s">
        <v>205</v>
      </c>
    </row>
    <row r="18" spans="1:38" x14ac:dyDescent="0.25">
      <c r="A18" s="1">
        <v>9</v>
      </c>
      <c r="B18" t="s">
        <v>181</v>
      </c>
      <c r="O18" t="s">
        <v>163</v>
      </c>
    </row>
    <row r="19" spans="1:38" x14ac:dyDescent="0.25">
      <c r="A19" s="1">
        <v>10</v>
      </c>
      <c r="B19" t="s">
        <v>180</v>
      </c>
      <c r="O19" t="s">
        <v>188</v>
      </c>
    </row>
    <row r="20" spans="1:38" x14ac:dyDescent="0.25">
      <c r="A20" s="1">
        <v>11</v>
      </c>
      <c r="B20" t="s">
        <v>174</v>
      </c>
      <c r="O20" t="s">
        <v>173</v>
      </c>
    </row>
    <row r="21" spans="1:38" x14ac:dyDescent="0.25">
      <c r="A21" s="1">
        <v>12.1</v>
      </c>
      <c r="B21" t="s">
        <v>175</v>
      </c>
      <c r="O21" t="s">
        <v>181</v>
      </c>
    </row>
    <row r="22" spans="1:38" x14ac:dyDescent="0.25">
      <c r="A22" s="16" t="s">
        <v>214</v>
      </c>
      <c r="B22" t="s">
        <v>74</v>
      </c>
      <c r="O22" t="s">
        <v>180</v>
      </c>
    </row>
    <row r="23" spans="1:38" x14ac:dyDescent="0.25">
      <c r="A23" s="1">
        <v>12.3</v>
      </c>
      <c r="B23" s="12" t="s">
        <v>176</v>
      </c>
      <c r="O23" t="s">
        <v>174</v>
      </c>
    </row>
    <row r="24" spans="1:38" x14ac:dyDescent="0.25">
      <c r="A24" s="1">
        <v>13</v>
      </c>
      <c r="B24" t="s">
        <v>164</v>
      </c>
      <c r="O24" t="s">
        <v>206</v>
      </c>
    </row>
    <row r="25" spans="1:38" x14ac:dyDescent="0.25">
      <c r="A25" s="1">
        <v>14.1</v>
      </c>
      <c r="B25" t="s">
        <v>177</v>
      </c>
      <c r="O25" t="s">
        <v>164</v>
      </c>
    </row>
    <row r="26" spans="1:38" x14ac:dyDescent="0.25">
      <c r="A26" s="16" t="s">
        <v>213</v>
      </c>
      <c r="B26" t="s">
        <v>170</v>
      </c>
      <c r="O26" t="s">
        <v>207</v>
      </c>
    </row>
    <row r="27" spans="1:38" x14ac:dyDescent="0.25">
      <c r="A27" s="1">
        <v>14.3</v>
      </c>
      <c r="B27" t="s">
        <v>178</v>
      </c>
      <c r="O27" t="s">
        <v>172</v>
      </c>
    </row>
    <row r="28" spans="1:38" x14ac:dyDescent="0.25">
      <c r="A28" s="1">
        <v>15</v>
      </c>
      <c r="B28" t="s">
        <v>172</v>
      </c>
    </row>
    <row r="29" spans="1:38" x14ac:dyDescent="0.25">
      <c r="A29" s="15" t="s">
        <v>168</v>
      </c>
    </row>
    <row r="30" spans="1:38" x14ac:dyDescent="0.25">
      <c r="A30" s="1">
        <v>0.1</v>
      </c>
      <c r="B30" t="str">
        <f>CONCATENATE("#",B3)</f>
        <v>#LA (mm)</v>
      </c>
      <c r="C30" t="str">
        <f>CONCATENATE("#",C3)</f>
        <v>#CO (LV Trace) (mL/min)</v>
      </c>
      <c r="D30" t="str">
        <f>CONCATENATE("#",D3)</f>
        <v>#Diameter.d (LV Trace) (mm)</v>
      </c>
      <c r="E30" t="str">
        <f>CONCATENATE("#",E3)</f>
        <v>#Diameter.s (LV Trace) (mm)</v>
      </c>
      <c r="F30" t="str">
        <f>CONCATENATE("#",F3)</f>
        <v>#EF (%)</v>
      </c>
      <c r="G30" t="str">
        <f>CONCATENATE("#",G3)</f>
        <v>#EF (LV Trace) (%)</v>
      </c>
      <c r="H30" t="str">
        <f>CONCATENATE("#",H3)</f>
        <v>#FS (%)</v>
      </c>
      <c r="I30" t="str">
        <f>CONCATENATE("#",I3)</f>
        <v>#FS (LV Trace) (%)</v>
      </c>
      <c r="J30" t="str">
        <f>CONCATENATE("#",J3)</f>
        <v>#LV Mass (mg)</v>
      </c>
      <c r="K30" t="str">
        <f>CONCATENATE("#",K3)</f>
        <v>#LV Mass (Corrected) (mg)</v>
      </c>
      <c r="L30" t="str">
        <f>CONCATENATE("#",L3)</f>
        <v>#LV Vol.d (uL)</v>
      </c>
      <c r="M30" t="str">
        <f>CONCATENATE("#",M3)</f>
        <v>#LV Vol.s (uL)</v>
      </c>
      <c r="N30" t="str">
        <f>CONCATENATE("#",N3)</f>
        <v>#SV (LV Trace) (uL)</v>
      </c>
      <c r="O30" t="str">
        <f>CONCATENATE("#",O3)</f>
        <v>#V.d (LV Trace) (uL)</v>
      </c>
      <c r="P30" t="str">
        <f>CONCATENATE("#",P3)</f>
        <v>#V.s (LV Trace) (uL)</v>
      </c>
      <c r="Q30" t="str">
        <f>CONCATENATE("#",Q3)</f>
        <v>#IVS.d_Depth (mm)</v>
      </c>
      <c r="R30" t="str">
        <f>CONCATENATE("#",R3)</f>
        <v>#IVS.s_Depth (mm)</v>
      </c>
      <c r="S30" t="str">
        <f>CONCATENATE("#",S3)</f>
        <v>#LVID.d_Depth (mm)</v>
      </c>
      <c r="T30" t="str">
        <f>CONCATENATE("#",T3)</f>
        <v>#LVID.s_Depth (mm)</v>
      </c>
      <c r="U30" t="str">
        <f>CONCATENATE("#",U3)</f>
        <v>#LVPW.d_Depth (mm)</v>
      </c>
      <c r="V30" t="str">
        <f>CONCATENATE("#",V3)</f>
        <v>#LVPW.s_Depth (mm)</v>
      </c>
      <c r="W30" t="str">
        <f>CONCATENATE("#",W3)</f>
        <v>#</v>
      </c>
      <c r="X30" t="str">
        <f>CONCATENATE("#",X3)</f>
        <v>#</v>
      </c>
      <c r="Y30" t="str">
        <f>CONCATENATE("#",Y3)</f>
        <v>#</v>
      </c>
      <c r="Z30" t="str">
        <f>CONCATENATE("#",Z3)</f>
        <v>#</v>
      </c>
      <c r="AA30" t="str">
        <f>CONCATENATE("#",AA3)</f>
        <v>#</v>
      </c>
      <c r="AB30" t="str">
        <f>CONCATENATE("#",AB3)</f>
        <v>#</v>
      </c>
      <c r="AC30" t="str">
        <f>CONCATENATE("#",AC3)</f>
        <v>#</v>
      </c>
      <c r="AD30" t="str">
        <f>CONCATENATE("#",AD3)</f>
        <v>#</v>
      </c>
      <c r="AE30" t="str">
        <f>CONCATENATE("#",AE3)</f>
        <v>#</v>
      </c>
      <c r="AF30" t="str">
        <f>CONCATENATE("#",AF3)</f>
        <v>#</v>
      </c>
      <c r="AG30" t="str">
        <f>CONCATENATE("#",AG3)</f>
        <v>#</v>
      </c>
      <c r="AH30" t="str">
        <f>CONCATENATE("#",AH3)</f>
        <v>#</v>
      </c>
      <c r="AI30" t="str">
        <f>CONCATENATE("#",AI3)</f>
        <v>#</v>
      </c>
      <c r="AJ30" t="str">
        <f>CONCATENATE("#",AJ3)</f>
        <v>#</v>
      </c>
      <c r="AK30" t="str">
        <f>CONCATENATE("#",AK3)</f>
        <v>#</v>
      </c>
      <c r="AL30" t="str">
        <f>CONCATENATE("#",AL3)</f>
        <v>#</v>
      </c>
    </row>
    <row r="31" spans="1:38" x14ac:dyDescent="0.25">
      <c r="A31" s="1">
        <v>0.2</v>
      </c>
      <c r="B31" t="str">
        <f>$B7</f>
        <v>```{r}</v>
      </c>
      <c r="C31" t="str">
        <f t="shared" ref="C31:AL31" si="0">$B7</f>
        <v>```{r}</v>
      </c>
      <c r="D31" t="str">
        <f t="shared" si="0"/>
        <v>```{r}</v>
      </c>
      <c r="E31" t="str">
        <f t="shared" si="0"/>
        <v>```{r}</v>
      </c>
      <c r="F31" t="str">
        <f t="shared" si="0"/>
        <v>```{r}</v>
      </c>
      <c r="G31" t="str">
        <f t="shared" si="0"/>
        <v>```{r}</v>
      </c>
      <c r="H31" t="str">
        <f t="shared" si="0"/>
        <v>```{r}</v>
      </c>
      <c r="I31" t="str">
        <f t="shared" si="0"/>
        <v>```{r}</v>
      </c>
      <c r="J31" t="str">
        <f t="shared" si="0"/>
        <v>```{r}</v>
      </c>
      <c r="K31" t="str">
        <f t="shared" si="0"/>
        <v>```{r}</v>
      </c>
      <c r="L31" t="str">
        <f t="shared" si="0"/>
        <v>```{r}</v>
      </c>
      <c r="M31" t="str">
        <f t="shared" si="0"/>
        <v>```{r}</v>
      </c>
      <c r="N31" t="str">
        <f t="shared" si="0"/>
        <v>```{r}</v>
      </c>
      <c r="O31" t="str">
        <f t="shared" si="0"/>
        <v>```{r}</v>
      </c>
      <c r="P31" t="str">
        <f t="shared" si="0"/>
        <v>```{r}</v>
      </c>
      <c r="Q31" t="str">
        <f t="shared" si="0"/>
        <v>```{r}</v>
      </c>
      <c r="R31" t="str">
        <f t="shared" si="0"/>
        <v>```{r}</v>
      </c>
      <c r="S31" t="str">
        <f t="shared" si="0"/>
        <v>```{r}</v>
      </c>
      <c r="T31" t="str">
        <f t="shared" si="0"/>
        <v>```{r}</v>
      </c>
      <c r="U31" t="str">
        <f t="shared" si="0"/>
        <v>```{r}</v>
      </c>
      <c r="V31" t="str">
        <f t="shared" si="0"/>
        <v>```{r}</v>
      </c>
      <c r="W31" t="str">
        <f t="shared" si="0"/>
        <v>```{r}</v>
      </c>
      <c r="X31" t="str">
        <f t="shared" si="0"/>
        <v>```{r}</v>
      </c>
      <c r="Y31" t="str">
        <f t="shared" si="0"/>
        <v>```{r}</v>
      </c>
      <c r="Z31" t="str">
        <f t="shared" si="0"/>
        <v>```{r}</v>
      </c>
      <c r="AA31" t="str">
        <f t="shared" si="0"/>
        <v>```{r}</v>
      </c>
      <c r="AB31" t="str">
        <f t="shared" si="0"/>
        <v>```{r}</v>
      </c>
      <c r="AC31" t="str">
        <f t="shared" si="0"/>
        <v>```{r}</v>
      </c>
      <c r="AD31" t="str">
        <f t="shared" si="0"/>
        <v>```{r}</v>
      </c>
      <c r="AE31" t="str">
        <f t="shared" si="0"/>
        <v>```{r}</v>
      </c>
      <c r="AF31" t="str">
        <f t="shared" si="0"/>
        <v>```{r}</v>
      </c>
      <c r="AG31" t="str">
        <f t="shared" si="0"/>
        <v>```{r}</v>
      </c>
      <c r="AH31" t="str">
        <f t="shared" si="0"/>
        <v>```{r}</v>
      </c>
      <c r="AI31" t="str">
        <f t="shared" si="0"/>
        <v>```{r}</v>
      </c>
      <c r="AJ31" t="str">
        <f t="shared" si="0"/>
        <v>```{r}</v>
      </c>
      <c r="AK31" t="str">
        <f t="shared" si="0"/>
        <v>```{r}</v>
      </c>
      <c r="AL31" t="str">
        <f t="shared" si="0"/>
        <v>```{r}</v>
      </c>
    </row>
    <row r="32" spans="1:38" x14ac:dyDescent="0.25">
      <c r="A32" s="1">
        <v>1</v>
      </c>
      <c r="B32" t="str">
        <f>CONCATENATE($B8,B2,$B10)</f>
        <v>df.summary = Summarize(LA_MM ~ Model + Genotype, data=Graph_data)</v>
      </c>
      <c r="C32" t="str">
        <f>CONCATENATE($B8,C2,$B10)</f>
        <v>df.summary = Summarize(CO_LVTRACE ~ Model + Genotype, data=Graph_data)</v>
      </c>
      <c r="D32" t="str">
        <f>CONCATENATE($B8,D2,$B10)</f>
        <v>df.summary = Summarize(DIAMETER_D_LV_TRACE_MM ~ Model + Genotype, data=Graph_data)</v>
      </c>
      <c r="E32" t="str">
        <f>CONCATENATE($B8,E2,$B10)</f>
        <v>df.summary = Summarize(DIAMETER_S_LV_TRACE_MM ~ Model + Genotype, data=Graph_data)</v>
      </c>
      <c r="F32" t="str">
        <f>CONCATENATE($B8,F2,$B10)</f>
        <v>df.summary = Summarize(EF ~ Model + Genotype, data=Graph_data)</v>
      </c>
      <c r="G32" t="str">
        <f>CONCATENATE($B8,G2,$B10)</f>
        <v>df.summary = Summarize(EF_LV_TRACE ~ Model + Genotype, data=Graph_data)</v>
      </c>
      <c r="H32" t="str">
        <f>CONCATENATE($B8,H2,$B10)</f>
        <v>df.summary = Summarize(FS ~ Model + Genotype, data=Graph_data)</v>
      </c>
      <c r="I32" t="str">
        <f>CONCATENATE($B8,I2,$B10)</f>
        <v>df.summary = Summarize(FS_LV_TRACE ~ Model + Genotype, data=Graph_data)</v>
      </c>
      <c r="J32" t="str">
        <f>CONCATENATE($B8,J2,$B10)</f>
        <v>df.summary = Summarize(LV_MASS_MG ~ Model + Genotype, data=Graph_data)</v>
      </c>
      <c r="K32" t="str">
        <f>CONCATENATE($B8,K2,$B10)</f>
        <v>df.summary = Summarize(LV_MASS_CORRECTED_MG ~ Model + Genotype, data=Graph_data)</v>
      </c>
      <c r="L32" t="str">
        <f>CONCATENATE($B8,L2,$B10)</f>
        <v>df.summary = Summarize(LV_VOL_D_UL ~ Model + Genotype, data=Graph_data)</v>
      </c>
      <c r="M32" t="str">
        <f>CONCATENATE($B8,M2,$B10)</f>
        <v>df.summary = Summarize(LV_VOL_S_UL ~ Model + Genotype, data=Graph_data)</v>
      </c>
      <c r="N32" t="str">
        <f>CONCATENATE($B8,N2,$B10)</f>
        <v>df.summary = Summarize(SV_LV_TRACE_UL ~ Model + Genotype, data=Graph_data)</v>
      </c>
      <c r="O32" t="str">
        <f>CONCATENATE($B8,O2,$B10)</f>
        <v>df.summary = Summarize(V_D_LV_TRACE_UL ~ Model + Genotype, data=Graph_data)</v>
      </c>
      <c r="P32" t="str">
        <f>CONCATENATE($B8,P2,$B10)</f>
        <v>df.summary = Summarize(V_S_LV_TRACE_UL ~ Model + Genotype, data=Graph_data)</v>
      </c>
      <c r="Q32" t="str">
        <f>CONCATENATE($B8,Q2,$B10)</f>
        <v>df.summary = Summarize(IVSd ~ Model + Genotype, data=Graph_data)</v>
      </c>
      <c r="R32" t="str">
        <f>CONCATENATE($B8,R2,$B10)</f>
        <v>df.summary = Summarize(IVSs ~ Model + Genotype, data=Graph_data)</v>
      </c>
      <c r="S32" t="str">
        <f>CONCATENATE($B8,S2,$B10)</f>
        <v>df.summary = Summarize(LVIDd ~ Model + Genotype, data=Graph_data)</v>
      </c>
      <c r="T32" t="str">
        <f>CONCATENATE($B8,T2,$B10)</f>
        <v>df.summary = Summarize(LVIDs ~ Model + Genotype, data=Graph_data)</v>
      </c>
      <c r="U32" t="str">
        <f>CONCATENATE($B8,U2,$B10)</f>
        <v>df.summary = Summarize(LVPWd ~ Model + Genotype, data=Graph_data)</v>
      </c>
      <c r="V32" t="str">
        <f>CONCATENATE($B8,V2,$B10)</f>
        <v>df.summary = Summarize(LVPWs ~ Model + Genotype, data=Graph_data)</v>
      </c>
      <c r="W32" t="str">
        <f>CONCATENATE($B8,W2,$B10)</f>
        <v>df.summary = Summarize( ~ Model + Genotype, data=Graph_data)</v>
      </c>
      <c r="X32" t="str">
        <f>CONCATENATE($B8,X2,$B10)</f>
        <v>df.summary = Summarize( ~ Model + Genotype, data=Graph_data)</v>
      </c>
      <c r="Y32" t="str">
        <f>CONCATENATE($B8,Y2,$B10)</f>
        <v>df.summary = Summarize( ~ Model + Genotype, data=Graph_data)</v>
      </c>
      <c r="Z32" t="str">
        <f>CONCATENATE($B8,Z2,$B10)</f>
        <v>df.summary = Summarize( ~ Model + Genotype, data=Graph_data)</v>
      </c>
      <c r="AA32" t="str">
        <f>CONCATENATE($B8,AA2,$B10)</f>
        <v>df.summary = Summarize( ~ Model + Genotype, data=Graph_data)</v>
      </c>
      <c r="AB32" t="str">
        <f>CONCATENATE($B8,AB2,$B10)</f>
        <v>df.summary = Summarize( ~ Model + Genotype, data=Graph_data)</v>
      </c>
      <c r="AC32" t="str">
        <f>CONCATENATE($B8,AC2,$B10)</f>
        <v>df.summary = Summarize( ~ Model + Genotype, data=Graph_data)</v>
      </c>
      <c r="AD32" t="str">
        <f>CONCATENATE($B8,AD2,$B10)</f>
        <v>df.summary = Summarize( ~ Model + Genotype, data=Graph_data)</v>
      </c>
      <c r="AE32" t="str">
        <f>CONCATENATE($B8,AE2,$B10)</f>
        <v>df.summary = Summarize( ~ Model + Genotype, data=Graph_data)</v>
      </c>
      <c r="AF32" t="str">
        <f>CONCATENATE($B8,AF2,$B10)</f>
        <v>df.summary = Summarize( ~ Model + Genotype, data=Graph_data)</v>
      </c>
      <c r="AG32" t="str">
        <f>CONCATENATE($B8,AG2,$B10)</f>
        <v>df.summary = Summarize( ~ Model + Genotype, data=Graph_data)</v>
      </c>
      <c r="AH32" t="str">
        <f>CONCATENATE($B8,AH2,$B10)</f>
        <v>df.summary = Summarize( ~ Model + Genotype, data=Graph_data)</v>
      </c>
      <c r="AI32" t="str">
        <f>CONCATENATE($B8,AI2,$B10)</f>
        <v>df.summary = Summarize( ~ Model + Genotype, data=Graph_data)</v>
      </c>
      <c r="AJ32" t="str">
        <f>CONCATENATE($B8,AJ2,$B10)</f>
        <v>df.summary = Summarize( ~ Model + Genotype, data=Graph_data)</v>
      </c>
      <c r="AK32" t="str">
        <f>CONCATENATE($B8,AK2,$B10)</f>
        <v>df.summary = Summarize( ~ Model + Genotype, data=Graph_data)</v>
      </c>
      <c r="AL32" t="str">
        <f>CONCATENATE($B8,AL2,$B10)</f>
        <v>df.summary = Summarize( ~ Model + Genotype, data=Graph_data)</v>
      </c>
    </row>
    <row r="33" spans="1:38" x14ac:dyDescent="0.25">
      <c r="A33" s="1">
        <v>2</v>
      </c>
      <c r="B33" t="str">
        <f>$B11</f>
        <v>df.summary$se &lt;- df.summary$sd/sqrt(df.summary$n)</v>
      </c>
      <c r="C33" t="str">
        <f t="shared" ref="C33:AD33" si="1">$B11</f>
        <v>df.summary$se &lt;- df.summary$sd/sqrt(df.summary$n)</v>
      </c>
      <c r="D33" t="str">
        <f t="shared" si="1"/>
        <v>df.summary$se &lt;- df.summary$sd/sqrt(df.summary$n)</v>
      </c>
      <c r="E33" t="str">
        <f t="shared" si="1"/>
        <v>df.summary$se &lt;- df.summary$sd/sqrt(df.summary$n)</v>
      </c>
      <c r="F33" t="str">
        <f t="shared" si="1"/>
        <v>df.summary$se &lt;- df.summary$sd/sqrt(df.summary$n)</v>
      </c>
      <c r="G33" t="str">
        <f t="shared" si="1"/>
        <v>df.summary$se &lt;- df.summary$sd/sqrt(df.summary$n)</v>
      </c>
      <c r="H33" t="str">
        <f t="shared" si="1"/>
        <v>df.summary$se &lt;- df.summary$sd/sqrt(df.summary$n)</v>
      </c>
      <c r="I33" t="str">
        <f t="shared" si="1"/>
        <v>df.summary$se &lt;- df.summary$sd/sqrt(df.summary$n)</v>
      </c>
      <c r="J33" t="str">
        <f t="shared" si="1"/>
        <v>df.summary$se &lt;- df.summary$sd/sqrt(df.summary$n)</v>
      </c>
      <c r="K33" t="str">
        <f t="shared" si="1"/>
        <v>df.summary$se &lt;- df.summary$sd/sqrt(df.summary$n)</v>
      </c>
      <c r="L33" t="str">
        <f t="shared" si="1"/>
        <v>df.summary$se &lt;- df.summary$sd/sqrt(df.summary$n)</v>
      </c>
      <c r="M33" t="str">
        <f t="shared" si="1"/>
        <v>df.summary$se &lt;- df.summary$sd/sqrt(df.summary$n)</v>
      </c>
      <c r="N33" t="str">
        <f t="shared" si="1"/>
        <v>df.summary$se &lt;- df.summary$sd/sqrt(df.summary$n)</v>
      </c>
      <c r="O33" t="str">
        <f t="shared" si="1"/>
        <v>df.summary$se &lt;- df.summary$sd/sqrt(df.summary$n)</v>
      </c>
      <c r="P33" t="str">
        <f t="shared" si="1"/>
        <v>df.summary$se &lt;- df.summary$sd/sqrt(df.summary$n)</v>
      </c>
      <c r="Q33" t="str">
        <f t="shared" si="1"/>
        <v>df.summary$se &lt;- df.summary$sd/sqrt(df.summary$n)</v>
      </c>
      <c r="R33" t="str">
        <f t="shared" si="1"/>
        <v>df.summary$se &lt;- df.summary$sd/sqrt(df.summary$n)</v>
      </c>
      <c r="S33" t="str">
        <f t="shared" si="1"/>
        <v>df.summary$se &lt;- df.summary$sd/sqrt(df.summary$n)</v>
      </c>
      <c r="T33" t="str">
        <f t="shared" si="1"/>
        <v>df.summary$se &lt;- df.summary$sd/sqrt(df.summary$n)</v>
      </c>
      <c r="U33" t="str">
        <f t="shared" si="1"/>
        <v>df.summary$se &lt;- df.summary$sd/sqrt(df.summary$n)</v>
      </c>
      <c r="V33" t="str">
        <f t="shared" si="1"/>
        <v>df.summary$se &lt;- df.summary$sd/sqrt(df.summary$n)</v>
      </c>
      <c r="W33" t="str">
        <f t="shared" si="1"/>
        <v>df.summary$se &lt;- df.summary$sd/sqrt(df.summary$n)</v>
      </c>
      <c r="X33" t="str">
        <f t="shared" si="1"/>
        <v>df.summary$se &lt;- df.summary$sd/sqrt(df.summary$n)</v>
      </c>
      <c r="Y33" t="str">
        <f t="shared" si="1"/>
        <v>df.summary$se &lt;- df.summary$sd/sqrt(df.summary$n)</v>
      </c>
      <c r="Z33" t="str">
        <f t="shared" si="1"/>
        <v>df.summary$se &lt;- df.summary$sd/sqrt(df.summary$n)</v>
      </c>
      <c r="AA33" t="str">
        <f t="shared" si="1"/>
        <v>df.summary$se &lt;- df.summary$sd/sqrt(df.summary$n)</v>
      </c>
      <c r="AB33" t="str">
        <f t="shared" si="1"/>
        <v>df.summary$se &lt;- df.summary$sd/sqrt(df.summary$n)</v>
      </c>
      <c r="AC33" t="str">
        <f t="shared" si="1"/>
        <v>df.summary$se &lt;- df.summary$sd/sqrt(df.summary$n)</v>
      </c>
      <c r="AD33" t="str">
        <f t="shared" si="1"/>
        <v>df.summary$se &lt;- df.summary$sd/sqrt(df.summary$n)</v>
      </c>
      <c r="AE33" t="str">
        <f>$B11</f>
        <v>df.summary$se &lt;- df.summary$sd/sqrt(df.summary$n)</v>
      </c>
      <c r="AF33" t="str">
        <f t="shared" ref="AF33" si="2">$B11</f>
        <v>df.summary$se &lt;- df.summary$sd/sqrt(df.summary$n)</v>
      </c>
      <c r="AG33" t="str">
        <f>$B11</f>
        <v>df.summary$se &lt;- df.summary$sd/sqrt(df.summary$n)</v>
      </c>
      <c r="AH33" t="str">
        <f t="shared" ref="AH33:AL33" si="3">$B11</f>
        <v>df.summary$se &lt;- df.summary$sd/sqrt(df.summary$n)</v>
      </c>
      <c r="AI33" t="str">
        <f t="shared" si="3"/>
        <v>df.summary$se &lt;- df.summary$sd/sqrt(df.summary$n)</v>
      </c>
      <c r="AJ33" t="str">
        <f t="shared" si="3"/>
        <v>df.summary$se &lt;- df.summary$sd/sqrt(df.summary$n)</v>
      </c>
      <c r="AK33" t="str">
        <f t="shared" si="3"/>
        <v>df.summary$se &lt;- df.summary$sd/sqrt(df.summary$n)</v>
      </c>
      <c r="AL33" t="str">
        <f t="shared" si="3"/>
        <v>df.summary$se &lt;- df.summary$sd/sqrt(df.summary$n)</v>
      </c>
    </row>
    <row r="34" spans="1:38" x14ac:dyDescent="0.25">
      <c r="A34" s="1">
        <v>3</v>
      </c>
      <c r="B34" t="str">
        <f>CONCATENATE($B12,B2,$B14)</f>
        <v>PlotEcho&lt;- ggplot(data=Graph_data, aes(x= factor(Genotype, level = c('WT','Cdh5Mer','TACEff','TACEffCdh5Mer')), y=LA_MM, color = Genotype, fill = Genotype)) +</v>
      </c>
      <c r="C34" t="str">
        <f>CONCATENATE($B12,C2,$B14)</f>
        <v>PlotEcho&lt;- ggplot(data=Graph_data, aes(x= factor(Genotype, level = c('WT','Cdh5Mer','TACEff','TACEffCdh5Mer')), y=CO_LVTRACE, color = Genotype, fill = Genotype)) +</v>
      </c>
      <c r="D34" t="str">
        <f>CONCATENATE($B12,D2,$B14)</f>
        <v>PlotEcho&lt;- ggplot(data=Graph_data, aes(x= factor(Genotype, level = c('WT','Cdh5Mer','TACEff','TACEffCdh5Mer')), y=DIAMETER_D_LV_TRACE_MM, color = Genotype, fill = Genotype)) +</v>
      </c>
      <c r="E34" t="str">
        <f>CONCATENATE($B12,E2,$B14)</f>
        <v>PlotEcho&lt;- ggplot(data=Graph_data, aes(x= factor(Genotype, level = c('WT','Cdh5Mer','TACEff','TACEffCdh5Mer')), y=DIAMETER_S_LV_TRACE_MM, color = Genotype, fill = Genotype)) +</v>
      </c>
      <c r="F34" t="str">
        <f>CONCATENATE($B12,F2,$B14)</f>
        <v>PlotEcho&lt;- ggplot(data=Graph_data, aes(x= factor(Genotype, level = c('WT','Cdh5Mer','TACEff','TACEffCdh5Mer')), y=EF, color = Genotype, fill = Genotype)) +</v>
      </c>
      <c r="G34" t="str">
        <f>CONCATENATE($B12,G2,$B14)</f>
        <v>PlotEcho&lt;- ggplot(data=Graph_data, aes(x= factor(Genotype, level = c('WT','Cdh5Mer','TACEff','TACEffCdh5Mer')), y=EF_LV_TRACE, color = Genotype, fill = Genotype)) +</v>
      </c>
      <c r="H34" t="str">
        <f>CONCATENATE($B12,H2,$B14)</f>
        <v>PlotEcho&lt;- ggplot(data=Graph_data, aes(x= factor(Genotype, level = c('WT','Cdh5Mer','TACEff','TACEffCdh5Mer')), y=FS, color = Genotype, fill = Genotype)) +</v>
      </c>
      <c r="I34" t="str">
        <f>CONCATENATE($B12,I2,$B14)</f>
        <v>PlotEcho&lt;- ggplot(data=Graph_data, aes(x= factor(Genotype, level = c('WT','Cdh5Mer','TACEff','TACEffCdh5Mer')), y=FS_LV_TRACE, color = Genotype, fill = Genotype)) +</v>
      </c>
      <c r="J34" t="str">
        <f>CONCATENATE($B12,J2,$B14)</f>
        <v>PlotEcho&lt;- ggplot(data=Graph_data, aes(x= factor(Genotype, level = c('WT','Cdh5Mer','TACEff','TACEffCdh5Mer')), y=LV_MASS_MG, color = Genotype, fill = Genotype)) +</v>
      </c>
      <c r="K34" t="str">
        <f>CONCATENATE($B12,K2,$B14)</f>
        <v>PlotEcho&lt;- ggplot(data=Graph_data, aes(x= factor(Genotype, level = c('WT','Cdh5Mer','TACEff','TACEffCdh5Mer')), y=LV_MASS_CORRECTED_MG, color = Genotype, fill = Genotype)) +</v>
      </c>
      <c r="L34" t="str">
        <f>CONCATENATE($B12,L2,$B14)</f>
        <v>PlotEcho&lt;- ggplot(data=Graph_data, aes(x= factor(Genotype, level = c('WT','Cdh5Mer','TACEff','TACEffCdh5Mer')), y=LV_VOL_D_UL, color = Genotype, fill = Genotype)) +</v>
      </c>
      <c r="M34" t="str">
        <f>CONCATENATE($B12,M2,$B14)</f>
        <v>PlotEcho&lt;- ggplot(data=Graph_data, aes(x= factor(Genotype, level = c('WT','Cdh5Mer','TACEff','TACEffCdh5Mer')), y=LV_VOL_S_UL, color = Genotype, fill = Genotype)) +</v>
      </c>
      <c r="N34" t="str">
        <f>CONCATENATE($B12,N2,$B14)</f>
        <v>PlotEcho&lt;- ggplot(data=Graph_data, aes(x= factor(Genotype, level = c('WT','Cdh5Mer','TACEff','TACEffCdh5Mer')), y=SV_LV_TRACE_UL, color = Genotype, fill = Genotype)) +</v>
      </c>
      <c r="O34" t="str">
        <f>CONCATENATE($B12,O2,$B14)</f>
        <v>PlotEcho&lt;- ggplot(data=Graph_data, aes(x= factor(Genotype, level = c('WT','Cdh5Mer','TACEff','TACEffCdh5Mer')), y=V_D_LV_TRACE_UL, color = Genotype, fill = Genotype)) +</v>
      </c>
      <c r="P34" t="str">
        <f>CONCATENATE($B12,P2,$B14)</f>
        <v>PlotEcho&lt;- ggplot(data=Graph_data, aes(x= factor(Genotype, level = c('WT','Cdh5Mer','TACEff','TACEffCdh5Mer')), y=V_S_LV_TRACE_UL, color = Genotype, fill = Genotype)) +</v>
      </c>
      <c r="Q34" t="str">
        <f>CONCATENATE($B12,Q2,$B14)</f>
        <v>PlotEcho&lt;- ggplot(data=Graph_data, aes(x= factor(Genotype, level = c('WT','Cdh5Mer','TACEff','TACEffCdh5Mer')), y=IVSd, color = Genotype, fill = Genotype)) +</v>
      </c>
      <c r="R34" t="str">
        <f>CONCATENATE($B12,R2,$B14)</f>
        <v>PlotEcho&lt;- ggplot(data=Graph_data, aes(x= factor(Genotype, level = c('WT','Cdh5Mer','TACEff','TACEffCdh5Mer')), y=IVSs, color = Genotype, fill = Genotype)) +</v>
      </c>
      <c r="S34" t="str">
        <f>CONCATENATE($B12,S2,$B14)</f>
        <v>PlotEcho&lt;- ggplot(data=Graph_data, aes(x= factor(Genotype, level = c('WT','Cdh5Mer','TACEff','TACEffCdh5Mer')), y=LVIDd, color = Genotype, fill = Genotype)) +</v>
      </c>
      <c r="T34" t="str">
        <f>CONCATENATE($B12,T2,$B14)</f>
        <v>PlotEcho&lt;- ggplot(data=Graph_data, aes(x= factor(Genotype, level = c('WT','Cdh5Mer','TACEff','TACEffCdh5Mer')), y=LVIDs, color = Genotype, fill = Genotype)) +</v>
      </c>
      <c r="U34" t="str">
        <f>CONCATENATE($B12,U2,$B14)</f>
        <v>PlotEcho&lt;- ggplot(data=Graph_data, aes(x= factor(Genotype, level = c('WT','Cdh5Mer','TACEff','TACEffCdh5Mer')), y=LVPWd, color = Genotype, fill = Genotype)) +</v>
      </c>
      <c r="V34" t="str">
        <f>CONCATENATE($B12,V2,$B14)</f>
        <v>PlotEcho&lt;- ggplot(data=Graph_data, aes(x= factor(Genotype, level = c('WT','Cdh5Mer','TACEff','TACEffCdh5Mer')), y=LVPWs, color = Genotype, fill = Genotype)) +</v>
      </c>
      <c r="W34" t="str">
        <f>CONCATENATE($B12,W2,$B14)</f>
        <v>PlotEcho&lt;- ggplot(data=Graph_data, aes(x= factor(Genotype, level = c('WT','Cdh5Mer','TACEff','TACEffCdh5Mer')), y=, color = Genotype, fill = Genotype)) +</v>
      </c>
      <c r="X34" t="str">
        <f>CONCATENATE($B12,X2,$B14)</f>
        <v>PlotEcho&lt;- ggplot(data=Graph_data, aes(x= factor(Genotype, level = c('WT','Cdh5Mer','TACEff','TACEffCdh5Mer')), y=, color = Genotype, fill = Genotype)) +</v>
      </c>
      <c r="Y34" t="str">
        <f>CONCATENATE($B12,Y2,$B14)</f>
        <v>PlotEcho&lt;- ggplot(data=Graph_data, aes(x= factor(Genotype, level = c('WT','Cdh5Mer','TACEff','TACEffCdh5Mer')), y=, color = Genotype, fill = Genotype)) +</v>
      </c>
      <c r="Z34" t="str">
        <f>CONCATENATE($B12,Z2,$B14)</f>
        <v>PlotEcho&lt;- ggplot(data=Graph_data, aes(x= factor(Genotype, level = c('WT','Cdh5Mer','TACEff','TACEffCdh5Mer')), y=, color = Genotype, fill = Genotype)) +</v>
      </c>
      <c r="AA34" t="str">
        <f>CONCATENATE($B12,AA2,$B14)</f>
        <v>PlotEcho&lt;- ggplot(data=Graph_data, aes(x= factor(Genotype, level = c('WT','Cdh5Mer','TACEff','TACEffCdh5Mer')), y=, color = Genotype, fill = Genotype)) +</v>
      </c>
      <c r="AB34" t="str">
        <f>CONCATENATE($B12,AB2,$B14)</f>
        <v>PlotEcho&lt;- ggplot(data=Graph_data, aes(x= factor(Genotype, level = c('WT','Cdh5Mer','TACEff','TACEffCdh5Mer')), y=, color = Genotype, fill = Genotype)) +</v>
      </c>
      <c r="AC34" t="str">
        <f>CONCATENATE($B12,AC2,$B14)</f>
        <v>PlotEcho&lt;- ggplot(data=Graph_data, aes(x= factor(Genotype, level = c('WT','Cdh5Mer','TACEff','TACEffCdh5Mer')), y=, color = Genotype, fill = Genotype)) +</v>
      </c>
      <c r="AD34" t="str">
        <f>CONCATENATE($B12,AD2,$B14)</f>
        <v>PlotEcho&lt;- ggplot(data=Graph_data, aes(x= factor(Genotype, level = c('WT','Cdh5Mer','TACEff','TACEffCdh5Mer')), y=, color = Genotype, fill = Genotype)) +</v>
      </c>
      <c r="AE34" t="str">
        <f>CONCATENATE($B12,AE2,$B14)</f>
        <v>PlotEcho&lt;- ggplot(data=Graph_data, aes(x= factor(Genotype, level = c('WT','Cdh5Mer','TACEff','TACEffCdh5Mer')), y=, color = Genotype, fill = Genotype)) +</v>
      </c>
      <c r="AF34" t="str">
        <f>CONCATENATE($B12,AF2,$B14)</f>
        <v>PlotEcho&lt;- ggplot(data=Graph_data, aes(x= factor(Genotype, level = c('WT','Cdh5Mer','TACEff','TACEffCdh5Mer')), y=, color = Genotype, fill = Genotype)) +</v>
      </c>
      <c r="AG34" t="str">
        <f>CONCATENATE($B12,AG2,$B14)</f>
        <v>PlotEcho&lt;- ggplot(data=Graph_data, aes(x= factor(Genotype, level = c('WT','Cdh5Mer','TACEff','TACEffCdh5Mer')), y=, color = Genotype, fill = Genotype)) +</v>
      </c>
      <c r="AH34" t="str">
        <f>CONCATENATE($B12,AH2,$B14)</f>
        <v>PlotEcho&lt;- ggplot(data=Graph_data, aes(x= factor(Genotype, level = c('WT','Cdh5Mer','TACEff','TACEffCdh5Mer')), y=, color = Genotype, fill = Genotype)) +</v>
      </c>
      <c r="AI34" t="str">
        <f>CONCATENATE($B12,AI2,$B14)</f>
        <v>PlotEcho&lt;- ggplot(data=Graph_data, aes(x= factor(Genotype, level = c('WT','Cdh5Mer','TACEff','TACEffCdh5Mer')), y=, color = Genotype, fill = Genotype)) +</v>
      </c>
      <c r="AJ34" t="str">
        <f>CONCATENATE($B12,AJ2,$B14)</f>
        <v>PlotEcho&lt;- ggplot(data=Graph_data, aes(x= factor(Genotype, level = c('WT','Cdh5Mer','TACEff','TACEffCdh5Mer')), y=, color = Genotype, fill = Genotype)) +</v>
      </c>
      <c r="AK34" t="str">
        <f>CONCATENATE($B12,AK2,$B14)</f>
        <v>PlotEcho&lt;- ggplot(data=Graph_data, aes(x= factor(Genotype, level = c('WT','Cdh5Mer','TACEff','TACEffCdh5Mer')), y=, color = Genotype, fill = Genotype)) +</v>
      </c>
      <c r="AL34" t="str">
        <f>CONCATENATE($B12,AL2,$B14)</f>
        <v>PlotEcho&lt;- ggplot(data=Graph_data, aes(x= factor(Genotype, level = c('WT','Cdh5Mer','TACEff','TACEffCdh5Mer')), y=, color = Genotype, fill = Genotype)) +</v>
      </c>
    </row>
    <row r="35" spans="1:38" x14ac:dyDescent="0.25">
      <c r="A35" s="1">
        <v>4</v>
      </c>
      <c r="B35" t="str">
        <f t="shared" ref="B35:B40" si="4">$B15</f>
        <v xml:space="preserve">  geom_point(shape = 16,  size = 1.5, stroke = 0.5)+</v>
      </c>
      <c r="C35" t="str">
        <f t="shared" ref="C35:AD35" si="5">$B15</f>
        <v xml:space="preserve">  geom_point(shape = 16,  size = 1.5, stroke = 0.5)+</v>
      </c>
      <c r="D35" t="str">
        <f t="shared" si="5"/>
        <v xml:space="preserve">  geom_point(shape = 16,  size = 1.5, stroke = 0.5)+</v>
      </c>
      <c r="E35" t="str">
        <f t="shared" si="5"/>
        <v xml:space="preserve">  geom_point(shape = 16,  size = 1.5, stroke = 0.5)+</v>
      </c>
      <c r="F35" t="str">
        <f t="shared" si="5"/>
        <v xml:space="preserve">  geom_point(shape = 16,  size = 1.5, stroke = 0.5)+</v>
      </c>
      <c r="G35" t="str">
        <f t="shared" si="5"/>
        <v xml:space="preserve">  geom_point(shape = 16,  size = 1.5, stroke = 0.5)+</v>
      </c>
      <c r="H35" t="str">
        <f t="shared" si="5"/>
        <v xml:space="preserve">  geom_point(shape = 16,  size = 1.5, stroke = 0.5)+</v>
      </c>
      <c r="I35" t="str">
        <f t="shared" si="5"/>
        <v xml:space="preserve">  geom_point(shape = 16,  size = 1.5, stroke = 0.5)+</v>
      </c>
      <c r="J35" t="str">
        <f t="shared" si="5"/>
        <v xml:space="preserve">  geom_point(shape = 16,  size = 1.5, stroke = 0.5)+</v>
      </c>
      <c r="K35" t="str">
        <f t="shared" si="5"/>
        <v xml:space="preserve">  geom_point(shape = 16,  size = 1.5, stroke = 0.5)+</v>
      </c>
      <c r="L35" t="str">
        <f t="shared" si="5"/>
        <v xml:space="preserve">  geom_point(shape = 16,  size = 1.5, stroke = 0.5)+</v>
      </c>
      <c r="M35" t="str">
        <f t="shared" si="5"/>
        <v xml:space="preserve">  geom_point(shape = 16,  size = 1.5, stroke = 0.5)+</v>
      </c>
      <c r="N35" t="str">
        <f t="shared" si="5"/>
        <v xml:space="preserve">  geom_point(shape = 16,  size = 1.5, stroke = 0.5)+</v>
      </c>
      <c r="O35" t="str">
        <f t="shared" si="5"/>
        <v xml:space="preserve">  geom_point(shape = 16,  size = 1.5, stroke = 0.5)+</v>
      </c>
      <c r="P35" t="str">
        <f t="shared" si="5"/>
        <v xml:space="preserve">  geom_point(shape = 16,  size = 1.5, stroke = 0.5)+</v>
      </c>
      <c r="Q35" t="str">
        <f t="shared" si="5"/>
        <v xml:space="preserve">  geom_point(shape = 16,  size = 1.5, stroke = 0.5)+</v>
      </c>
      <c r="R35" t="str">
        <f t="shared" si="5"/>
        <v xml:space="preserve">  geom_point(shape = 16,  size = 1.5, stroke = 0.5)+</v>
      </c>
      <c r="S35" t="str">
        <f t="shared" si="5"/>
        <v xml:space="preserve">  geom_point(shape = 16,  size = 1.5, stroke = 0.5)+</v>
      </c>
      <c r="T35" t="str">
        <f t="shared" si="5"/>
        <v xml:space="preserve">  geom_point(shape = 16,  size = 1.5, stroke = 0.5)+</v>
      </c>
      <c r="U35" t="str">
        <f t="shared" si="5"/>
        <v xml:space="preserve">  geom_point(shape = 16,  size = 1.5, stroke = 0.5)+</v>
      </c>
      <c r="V35" t="str">
        <f t="shared" si="5"/>
        <v xml:space="preserve">  geom_point(shape = 16,  size = 1.5, stroke = 0.5)+</v>
      </c>
      <c r="W35" t="str">
        <f t="shared" si="5"/>
        <v xml:space="preserve">  geom_point(shape = 16,  size = 1.5, stroke = 0.5)+</v>
      </c>
      <c r="X35" t="str">
        <f t="shared" si="5"/>
        <v xml:space="preserve">  geom_point(shape = 16,  size = 1.5, stroke = 0.5)+</v>
      </c>
      <c r="Y35" t="str">
        <f t="shared" si="5"/>
        <v xml:space="preserve">  geom_point(shape = 16,  size = 1.5, stroke = 0.5)+</v>
      </c>
      <c r="Z35" t="str">
        <f t="shared" si="5"/>
        <v xml:space="preserve">  geom_point(shape = 16,  size = 1.5, stroke = 0.5)+</v>
      </c>
      <c r="AA35" t="str">
        <f t="shared" si="5"/>
        <v xml:space="preserve">  geom_point(shape = 16,  size = 1.5, stroke = 0.5)+</v>
      </c>
      <c r="AB35" t="str">
        <f t="shared" si="5"/>
        <v xml:space="preserve">  geom_point(shape = 16,  size = 1.5, stroke = 0.5)+</v>
      </c>
      <c r="AC35" t="str">
        <f t="shared" si="5"/>
        <v xml:space="preserve">  geom_point(shape = 16,  size = 1.5, stroke = 0.5)+</v>
      </c>
      <c r="AD35" t="str">
        <f t="shared" si="5"/>
        <v xml:space="preserve">  geom_point(shape = 16,  size = 1.5, stroke = 0.5)+</v>
      </c>
      <c r="AE35" t="str">
        <f t="shared" ref="AE35:AE40" si="6">$B15</f>
        <v xml:space="preserve">  geom_point(shape = 16,  size = 1.5, stroke = 0.5)+</v>
      </c>
      <c r="AF35" t="str">
        <f t="shared" ref="AF35" si="7">$B15</f>
        <v xml:space="preserve">  geom_point(shape = 16,  size = 1.5, stroke = 0.5)+</v>
      </c>
      <c r="AG35" t="str">
        <f t="shared" ref="AG35:AG40" si="8">$B15</f>
        <v xml:space="preserve">  geom_point(shape = 16,  size = 1.5, stroke = 0.5)+</v>
      </c>
      <c r="AH35" t="str">
        <f t="shared" ref="AH35:AL35" si="9">$B15</f>
        <v xml:space="preserve">  geom_point(shape = 16,  size = 1.5, stroke = 0.5)+</v>
      </c>
      <c r="AI35" t="str">
        <f t="shared" si="9"/>
        <v xml:space="preserve">  geom_point(shape = 16,  size = 1.5, stroke = 0.5)+</v>
      </c>
      <c r="AJ35" t="str">
        <f t="shared" si="9"/>
        <v xml:space="preserve">  geom_point(shape = 16,  size = 1.5, stroke = 0.5)+</v>
      </c>
      <c r="AK35" t="str">
        <f t="shared" si="9"/>
        <v xml:space="preserve">  geom_point(shape = 16,  size = 1.5, stroke = 0.5)+</v>
      </c>
      <c r="AL35" t="str">
        <f t="shared" si="9"/>
        <v xml:space="preserve">  geom_point(shape = 16,  size = 1.5, stroke = 0.5)+</v>
      </c>
    </row>
    <row r="36" spans="1:38" x14ac:dyDescent="0.25">
      <c r="A36" s="1">
        <v>5</v>
      </c>
      <c r="B36" t="str">
        <f t="shared" si="4"/>
        <v xml:space="preserve">  expand_limits(y = 0)+ geom_text_repel(aes(label=Mice),hjust=2, vjust=0,size = 2.5)+</v>
      </c>
      <c r="C36" t="str">
        <f t="shared" ref="C36:AD36" si="10">$B16</f>
        <v xml:space="preserve">  expand_limits(y = 0)+ geom_text_repel(aes(label=Mice),hjust=2, vjust=0,size = 2.5)+</v>
      </c>
      <c r="D36" t="str">
        <f t="shared" si="10"/>
        <v xml:space="preserve">  expand_limits(y = 0)+ geom_text_repel(aes(label=Mice),hjust=2, vjust=0,size = 2.5)+</v>
      </c>
      <c r="E36" t="str">
        <f t="shared" si="10"/>
        <v xml:space="preserve">  expand_limits(y = 0)+ geom_text_repel(aes(label=Mice),hjust=2, vjust=0,size = 2.5)+</v>
      </c>
      <c r="F36" t="str">
        <f t="shared" si="10"/>
        <v xml:space="preserve">  expand_limits(y = 0)+ geom_text_repel(aes(label=Mice),hjust=2, vjust=0,size = 2.5)+</v>
      </c>
      <c r="G36" t="str">
        <f t="shared" si="10"/>
        <v xml:space="preserve">  expand_limits(y = 0)+ geom_text_repel(aes(label=Mice),hjust=2, vjust=0,size = 2.5)+</v>
      </c>
      <c r="H36" t="str">
        <f t="shared" si="10"/>
        <v xml:space="preserve">  expand_limits(y = 0)+ geom_text_repel(aes(label=Mice),hjust=2, vjust=0,size = 2.5)+</v>
      </c>
      <c r="I36" t="str">
        <f t="shared" si="10"/>
        <v xml:space="preserve">  expand_limits(y = 0)+ geom_text_repel(aes(label=Mice),hjust=2, vjust=0,size = 2.5)+</v>
      </c>
      <c r="J36" t="str">
        <f t="shared" si="10"/>
        <v xml:space="preserve">  expand_limits(y = 0)+ geom_text_repel(aes(label=Mice),hjust=2, vjust=0,size = 2.5)+</v>
      </c>
      <c r="K36" t="str">
        <f t="shared" si="10"/>
        <v xml:space="preserve">  expand_limits(y = 0)+ geom_text_repel(aes(label=Mice),hjust=2, vjust=0,size = 2.5)+</v>
      </c>
      <c r="L36" t="str">
        <f t="shared" si="10"/>
        <v xml:space="preserve">  expand_limits(y = 0)+ geom_text_repel(aes(label=Mice),hjust=2, vjust=0,size = 2.5)+</v>
      </c>
      <c r="M36" t="str">
        <f t="shared" si="10"/>
        <v xml:space="preserve">  expand_limits(y = 0)+ geom_text_repel(aes(label=Mice),hjust=2, vjust=0,size = 2.5)+</v>
      </c>
      <c r="N36" t="str">
        <f t="shared" si="10"/>
        <v xml:space="preserve">  expand_limits(y = 0)+ geom_text_repel(aes(label=Mice),hjust=2, vjust=0,size = 2.5)+</v>
      </c>
      <c r="O36" t="str">
        <f t="shared" si="10"/>
        <v xml:space="preserve">  expand_limits(y = 0)+ geom_text_repel(aes(label=Mice),hjust=2, vjust=0,size = 2.5)+</v>
      </c>
      <c r="P36" t="str">
        <f t="shared" si="10"/>
        <v xml:space="preserve">  expand_limits(y = 0)+ geom_text_repel(aes(label=Mice),hjust=2, vjust=0,size = 2.5)+</v>
      </c>
      <c r="Q36" t="str">
        <f t="shared" si="10"/>
        <v xml:space="preserve">  expand_limits(y = 0)+ geom_text_repel(aes(label=Mice),hjust=2, vjust=0,size = 2.5)+</v>
      </c>
      <c r="R36" t="str">
        <f t="shared" si="10"/>
        <v xml:space="preserve">  expand_limits(y = 0)+ geom_text_repel(aes(label=Mice),hjust=2, vjust=0,size = 2.5)+</v>
      </c>
      <c r="S36" t="str">
        <f t="shared" si="10"/>
        <v xml:space="preserve">  expand_limits(y = 0)+ geom_text_repel(aes(label=Mice),hjust=2, vjust=0,size = 2.5)+</v>
      </c>
      <c r="T36" t="str">
        <f t="shared" si="10"/>
        <v xml:space="preserve">  expand_limits(y = 0)+ geom_text_repel(aes(label=Mice),hjust=2, vjust=0,size = 2.5)+</v>
      </c>
      <c r="U36" t="str">
        <f t="shared" si="10"/>
        <v xml:space="preserve">  expand_limits(y = 0)+ geom_text_repel(aes(label=Mice),hjust=2, vjust=0,size = 2.5)+</v>
      </c>
      <c r="V36" t="str">
        <f t="shared" si="10"/>
        <v xml:space="preserve">  expand_limits(y = 0)+ geom_text_repel(aes(label=Mice),hjust=2, vjust=0,size = 2.5)+</v>
      </c>
      <c r="W36" t="str">
        <f t="shared" si="10"/>
        <v xml:space="preserve">  expand_limits(y = 0)+ geom_text_repel(aes(label=Mice),hjust=2, vjust=0,size = 2.5)+</v>
      </c>
      <c r="X36" t="str">
        <f t="shared" si="10"/>
        <v xml:space="preserve">  expand_limits(y = 0)+ geom_text_repel(aes(label=Mice),hjust=2, vjust=0,size = 2.5)+</v>
      </c>
      <c r="Y36" t="str">
        <f t="shared" si="10"/>
        <v xml:space="preserve">  expand_limits(y = 0)+ geom_text_repel(aes(label=Mice),hjust=2, vjust=0,size = 2.5)+</v>
      </c>
      <c r="Z36" t="str">
        <f t="shared" si="10"/>
        <v xml:space="preserve">  expand_limits(y = 0)+ geom_text_repel(aes(label=Mice),hjust=2, vjust=0,size = 2.5)+</v>
      </c>
      <c r="AA36" t="str">
        <f t="shared" si="10"/>
        <v xml:space="preserve">  expand_limits(y = 0)+ geom_text_repel(aes(label=Mice),hjust=2, vjust=0,size = 2.5)+</v>
      </c>
      <c r="AB36" t="str">
        <f t="shared" si="10"/>
        <v xml:space="preserve">  expand_limits(y = 0)+ geom_text_repel(aes(label=Mice),hjust=2, vjust=0,size = 2.5)+</v>
      </c>
      <c r="AC36" t="str">
        <f t="shared" si="10"/>
        <v xml:space="preserve">  expand_limits(y = 0)+ geom_text_repel(aes(label=Mice),hjust=2, vjust=0,size = 2.5)+</v>
      </c>
      <c r="AD36" t="str">
        <f t="shared" si="10"/>
        <v xml:space="preserve">  expand_limits(y = 0)+ geom_text_repel(aes(label=Mice),hjust=2, vjust=0,size = 2.5)+</v>
      </c>
      <c r="AE36" t="str">
        <f t="shared" si="6"/>
        <v xml:space="preserve">  expand_limits(y = 0)+ geom_text_repel(aes(label=Mice),hjust=2, vjust=0,size = 2.5)+</v>
      </c>
      <c r="AF36" t="str">
        <f t="shared" ref="AF36" si="11">$B16</f>
        <v xml:space="preserve">  expand_limits(y = 0)+ geom_text_repel(aes(label=Mice),hjust=2, vjust=0,size = 2.5)+</v>
      </c>
      <c r="AG36" t="str">
        <f t="shared" si="8"/>
        <v xml:space="preserve">  expand_limits(y = 0)+ geom_text_repel(aes(label=Mice),hjust=2, vjust=0,size = 2.5)+</v>
      </c>
      <c r="AH36" t="str">
        <f t="shared" ref="AH36:AL36" si="12">$B16</f>
        <v xml:space="preserve">  expand_limits(y = 0)+ geom_text_repel(aes(label=Mice),hjust=2, vjust=0,size = 2.5)+</v>
      </c>
      <c r="AI36" t="str">
        <f t="shared" si="12"/>
        <v xml:space="preserve">  expand_limits(y = 0)+ geom_text_repel(aes(label=Mice),hjust=2, vjust=0,size = 2.5)+</v>
      </c>
      <c r="AJ36" t="str">
        <f t="shared" si="12"/>
        <v xml:space="preserve">  expand_limits(y = 0)+ geom_text_repel(aes(label=Mice),hjust=2, vjust=0,size = 2.5)+</v>
      </c>
      <c r="AK36" t="str">
        <f t="shared" si="12"/>
        <v xml:space="preserve">  expand_limits(y = 0)+ geom_text_repel(aes(label=Mice),hjust=2, vjust=0,size = 2.5)+</v>
      </c>
      <c r="AL36" t="str">
        <f t="shared" si="12"/>
        <v xml:space="preserve">  expand_limits(y = 0)+ geom_text_repel(aes(label=Mice),hjust=2, vjust=0,size = 2.5)+</v>
      </c>
    </row>
    <row r="37" spans="1:38" x14ac:dyDescent="0.25">
      <c r="A37" s="1">
        <v>6</v>
      </c>
      <c r="B37" t="str">
        <f t="shared" si="4"/>
        <v xml:space="preserve">  facet_wrap(~factor(Model,levels=c('Sham','MI 3d','MI 1w','MI 2w','MI 4w')),nrow=1)+</v>
      </c>
      <c r="C37" t="str">
        <f t="shared" ref="C37:AD37" si="13">$B17</f>
        <v xml:space="preserve">  facet_wrap(~factor(Model,levels=c('Sham','MI 3d','MI 1w','MI 2w','MI 4w')),nrow=1)+</v>
      </c>
      <c r="D37" t="str">
        <f t="shared" si="13"/>
        <v xml:space="preserve">  facet_wrap(~factor(Model,levels=c('Sham','MI 3d','MI 1w','MI 2w','MI 4w')),nrow=1)+</v>
      </c>
      <c r="E37" t="str">
        <f t="shared" si="13"/>
        <v xml:space="preserve">  facet_wrap(~factor(Model,levels=c('Sham','MI 3d','MI 1w','MI 2w','MI 4w')),nrow=1)+</v>
      </c>
      <c r="F37" t="str">
        <f t="shared" si="13"/>
        <v xml:space="preserve">  facet_wrap(~factor(Model,levels=c('Sham','MI 3d','MI 1w','MI 2w','MI 4w')),nrow=1)+</v>
      </c>
      <c r="G37" t="str">
        <f t="shared" si="13"/>
        <v xml:space="preserve">  facet_wrap(~factor(Model,levels=c('Sham','MI 3d','MI 1w','MI 2w','MI 4w')),nrow=1)+</v>
      </c>
      <c r="H37" t="str">
        <f t="shared" si="13"/>
        <v xml:space="preserve">  facet_wrap(~factor(Model,levels=c('Sham','MI 3d','MI 1w','MI 2w','MI 4w')),nrow=1)+</v>
      </c>
      <c r="I37" t="str">
        <f t="shared" si="13"/>
        <v xml:space="preserve">  facet_wrap(~factor(Model,levels=c('Sham','MI 3d','MI 1w','MI 2w','MI 4w')),nrow=1)+</v>
      </c>
      <c r="J37" t="str">
        <f t="shared" si="13"/>
        <v xml:space="preserve">  facet_wrap(~factor(Model,levels=c('Sham','MI 3d','MI 1w','MI 2w','MI 4w')),nrow=1)+</v>
      </c>
      <c r="K37" t="str">
        <f t="shared" si="13"/>
        <v xml:space="preserve">  facet_wrap(~factor(Model,levels=c('Sham','MI 3d','MI 1w','MI 2w','MI 4w')),nrow=1)+</v>
      </c>
      <c r="L37" t="str">
        <f t="shared" si="13"/>
        <v xml:space="preserve">  facet_wrap(~factor(Model,levels=c('Sham','MI 3d','MI 1w','MI 2w','MI 4w')),nrow=1)+</v>
      </c>
      <c r="M37" t="str">
        <f t="shared" si="13"/>
        <v xml:space="preserve">  facet_wrap(~factor(Model,levels=c('Sham','MI 3d','MI 1w','MI 2w','MI 4w')),nrow=1)+</v>
      </c>
      <c r="N37" t="str">
        <f t="shared" si="13"/>
        <v xml:space="preserve">  facet_wrap(~factor(Model,levels=c('Sham','MI 3d','MI 1w','MI 2w','MI 4w')),nrow=1)+</v>
      </c>
      <c r="O37" t="str">
        <f t="shared" si="13"/>
        <v xml:space="preserve">  facet_wrap(~factor(Model,levels=c('Sham','MI 3d','MI 1w','MI 2w','MI 4w')),nrow=1)+</v>
      </c>
      <c r="P37" t="str">
        <f t="shared" si="13"/>
        <v xml:space="preserve">  facet_wrap(~factor(Model,levels=c('Sham','MI 3d','MI 1w','MI 2w','MI 4w')),nrow=1)+</v>
      </c>
      <c r="Q37" t="str">
        <f t="shared" si="13"/>
        <v xml:space="preserve">  facet_wrap(~factor(Model,levels=c('Sham','MI 3d','MI 1w','MI 2w','MI 4w')),nrow=1)+</v>
      </c>
      <c r="R37" t="str">
        <f t="shared" si="13"/>
        <v xml:space="preserve">  facet_wrap(~factor(Model,levels=c('Sham','MI 3d','MI 1w','MI 2w','MI 4w')),nrow=1)+</v>
      </c>
      <c r="S37" t="str">
        <f t="shared" si="13"/>
        <v xml:space="preserve">  facet_wrap(~factor(Model,levels=c('Sham','MI 3d','MI 1w','MI 2w','MI 4w')),nrow=1)+</v>
      </c>
      <c r="T37" t="str">
        <f t="shared" si="13"/>
        <v xml:space="preserve">  facet_wrap(~factor(Model,levels=c('Sham','MI 3d','MI 1w','MI 2w','MI 4w')),nrow=1)+</v>
      </c>
      <c r="U37" t="str">
        <f t="shared" si="13"/>
        <v xml:space="preserve">  facet_wrap(~factor(Model,levels=c('Sham','MI 3d','MI 1w','MI 2w','MI 4w')),nrow=1)+</v>
      </c>
      <c r="V37" t="str">
        <f t="shared" si="13"/>
        <v xml:space="preserve">  facet_wrap(~factor(Model,levels=c('Sham','MI 3d','MI 1w','MI 2w','MI 4w')),nrow=1)+</v>
      </c>
      <c r="W37" t="str">
        <f t="shared" si="13"/>
        <v xml:space="preserve">  facet_wrap(~factor(Model,levels=c('Sham','MI 3d','MI 1w','MI 2w','MI 4w')),nrow=1)+</v>
      </c>
      <c r="X37" t="str">
        <f t="shared" si="13"/>
        <v xml:space="preserve">  facet_wrap(~factor(Model,levels=c('Sham','MI 3d','MI 1w','MI 2w','MI 4w')),nrow=1)+</v>
      </c>
      <c r="Y37" t="str">
        <f t="shared" si="13"/>
        <v xml:space="preserve">  facet_wrap(~factor(Model,levels=c('Sham','MI 3d','MI 1w','MI 2w','MI 4w')),nrow=1)+</v>
      </c>
      <c r="Z37" t="str">
        <f t="shared" si="13"/>
        <v xml:space="preserve">  facet_wrap(~factor(Model,levels=c('Sham','MI 3d','MI 1w','MI 2w','MI 4w')),nrow=1)+</v>
      </c>
      <c r="AA37" t="str">
        <f t="shared" si="13"/>
        <v xml:space="preserve">  facet_wrap(~factor(Model,levels=c('Sham','MI 3d','MI 1w','MI 2w','MI 4w')),nrow=1)+</v>
      </c>
      <c r="AB37" t="str">
        <f t="shared" si="13"/>
        <v xml:space="preserve">  facet_wrap(~factor(Model,levels=c('Sham','MI 3d','MI 1w','MI 2w','MI 4w')),nrow=1)+</v>
      </c>
      <c r="AC37" t="str">
        <f t="shared" si="13"/>
        <v xml:space="preserve">  facet_wrap(~factor(Model,levels=c('Sham','MI 3d','MI 1w','MI 2w','MI 4w')),nrow=1)+</v>
      </c>
      <c r="AD37" t="str">
        <f t="shared" si="13"/>
        <v xml:space="preserve">  facet_wrap(~factor(Model,levels=c('Sham','MI 3d','MI 1w','MI 2w','MI 4w')),nrow=1)+</v>
      </c>
      <c r="AE37" t="str">
        <f t="shared" si="6"/>
        <v xml:space="preserve">  facet_wrap(~factor(Model,levels=c('Sham','MI 3d','MI 1w','MI 2w','MI 4w')),nrow=1)+</v>
      </c>
      <c r="AF37" t="str">
        <f t="shared" ref="AF37" si="14">$B17</f>
        <v xml:space="preserve">  facet_wrap(~factor(Model,levels=c('Sham','MI 3d','MI 1w','MI 2w','MI 4w')),nrow=1)+</v>
      </c>
      <c r="AG37" t="str">
        <f t="shared" si="8"/>
        <v xml:space="preserve">  facet_wrap(~factor(Model,levels=c('Sham','MI 3d','MI 1w','MI 2w','MI 4w')),nrow=1)+</v>
      </c>
      <c r="AH37" t="str">
        <f t="shared" ref="AH37:AL37" si="15">$B17</f>
        <v xml:space="preserve">  facet_wrap(~factor(Model,levels=c('Sham','MI 3d','MI 1w','MI 2w','MI 4w')),nrow=1)+</v>
      </c>
      <c r="AI37" t="str">
        <f t="shared" si="15"/>
        <v xml:space="preserve">  facet_wrap(~factor(Model,levels=c('Sham','MI 3d','MI 1w','MI 2w','MI 4w')),nrow=1)+</v>
      </c>
      <c r="AJ37" t="str">
        <f t="shared" si="15"/>
        <v xml:space="preserve">  facet_wrap(~factor(Model,levels=c('Sham','MI 3d','MI 1w','MI 2w','MI 4w')),nrow=1)+</v>
      </c>
      <c r="AK37" t="str">
        <f t="shared" si="15"/>
        <v xml:space="preserve">  facet_wrap(~factor(Model,levels=c('Sham','MI 3d','MI 1w','MI 2w','MI 4w')),nrow=1)+</v>
      </c>
      <c r="AL37" t="str">
        <f t="shared" si="15"/>
        <v xml:space="preserve">  facet_wrap(~factor(Model,levels=c('Sham','MI 3d','MI 1w','MI 2w','MI 4w')),nrow=1)+</v>
      </c>
    </row>
    <row r="38" spans="1:38" x14ac:dyDescent="0.25">
      <c r="A38" s="1">
        <v>7</v>
      </c>
      <c r="B38" t="str">
        <f t="shared" si="4"/>
        <v xml:space="preserve">  geom_point(aes(x=Genotype,y=mean),data = df.summary,shape = 5,  size = 3, stroke = 0.5, color='Black')+</v>
      </c>
      <c r="C38" t="str">
        <f t="shared" ref="C38:AD38" si="16">$B18</f>
        <v xml:space="preserve">  geom_point(aes(x=Genotype,y=mean),data = df.summary,shape = 5,  size = 3, stroke = 0.5, color='Black')+</v>
      </c>
      <c r="D38" t="str">
        <f t="shared" si="16"/>
        <v xml:space="preserve">  geom_point(aes(x=Genotype,y=mean),data = df.summary,shape = 5,  size = 3, stroke = 0.5, color='Black')+</v>
      </c>
      <c r="E38" t="str">
        <f t="shared" si="16"/>
        <v xml:space="preserve">  geom_point(aes(x=Genotype,y=mean),data = df.summary,shape = 5,  size = 3, stroke = 0.5, color='Black')+</v>
      </c>
      <c r="F38" t="str">
        <f t="shared" si="16"/>
        <v xml:space="preserve">  geom_point(aes(x=Genotype,y=mean),data = df.summary,shape = 5,  size = 3, stroke = 0.5, color='Black')+</v>
      </c>
      <c r="G38" t="str">
        <f t="shared" si="16"/>
        <v xml:space="preserve">  geom_point(aes(x=Genotype,y=mean),data = df.summary,shape = 5,  size = 3, stroke = 0.5, color='Black')+</v>
      </c>
      <c r="H38" t="str">
        <f t="shared" si="16"/>
        <v xml:space="preserve">  geom_point(aes(x=Genotype,y=mean),data = df.summary,shape = 5,  size = 3, stroke = 0.5, color='Black')+</v>
      </c>
      <c r="I38" t="str">
        <f t="shared" si="16"/>
        <v xml:space="preserve">  geom_point(aes(x=Genotype,y=mean),data = df.summary,shape = 5,  size = 3, stroke = 0.5, color='Black')+</v>
      </c>
      <c r="J38" t="str">
        <f t="shared" si="16"/>
        <v xml:space="preserve">  geom_point(aes(x=Genotype,y=mean),data = df.summary,shape = 5,  size = 3, stroke = 0.5, color='Black')+</v>
      </c>
      <c r="K38" t="str">
        <f t="shared" si="16"/>
        <v xml:space="preserve">  geom_point(aes(x=Genotype,y=mean),data = df.summary,shape = 5,  size = 3, stroke = 0.5, color='Black')+</v>
      </c>
      <c r="L38" t="str">
        <f t="shared" si="16"/>
        <v xml:space="preserve">  geom_point(aes(x=Genotype,y=mean),data = df.summary,shape = 5,  size = 3, stroke = 0.5, color='Black')+</v>
      </c>
      <c r="M38" t="str">
        <f t="shared" si="16"/>
        <v xml:space="preserve">  geom_point(aes(x=Genotype,y=mean),data = df.summary,shape = 5,  size = 3, stroke = 0.5, color='Black')+</v>
      </c>
      <c r="N38" t="str">
        <f t="shared" si="16"/>
        <v xml:space="preserve">  geom_point(aes(x=Genotype,y=mean),data = df.summary,shape = 5,  size = 3, stroke = 0.5, color='Black')+</v>
      </c>
      <c r="O38" t="str">
        <f t="shared" si="16"/>
        <v xml:space="preserve">  geom_point(aes(x=Genotype,y=mean),data = df.summary,shape = 5,  size = 3, stroke = 0.5, color='Black')+</v>
      </c>
      <c r="P38" t="str">
        <f t="shared" si="16"/>
        <v xml:space="preserve">  geom_point(aes(x=Genotype,y=mean),data = df.summary,shape = 5,  size = 3, stroke = 0.5, color='Black')+</v>
      </c>
      <c r="Q38" t="str">
        <f t="shared" si="16"/>
        <v xml:space="preserve">  geom_point(aes(x=Genotype,y=mean),data = df.summary,shape = 5,  size = 3, stroke = 0.5, color='Black')+</v>
      </c>
      <c r="R38" t="str">
        <f t="shared" si="16"/>
        <v xml:space="preserve">  geom_point(aes(x=Genotype,y=mean),data = df.summary,shape = 5,  size = 3, stroke = 0.5, color='Black')+</v>
      </c>
      <c r="S38" t="str">
        <f t="shared" si="16"/>
        <v xml:space="preserve">  geom_point(aes(x=Genotype,y=mean),data = df.summary,shape = 5,  size = 3, stroke = 0.5, color='Black')+</v>
      </c>
      <c r="T38" t="str">
        <f t="shared" si="16"/>
        <v xml:space="preserve">  geom_point(aes(x=Genotype,y=mean),data = df.summary,shape = 5,  size = 3, stroke = 0.5, color='Black')+</v>
      </c>
      <c r="U38" t="str">
        <f t="shared" si="16"/>
        <v xml:space="preserve">  geom_point(aes(x=Genotype,y=mean),data = df.summary,shape = 5,  size = 3, stroke = 0.5, color='Black')+</v>
      </c>
      <c r="V38" t="str">
        <f t="shared" si="16"/>
        <v xml:space="preserve">  geom_point(aes(x=Genotype,y=mean),data = df.summary,shape = 5,  size = 3, stroke = 0.5, color='Black')+</v>
      </c>
      <c r="W38" t="str">
        <f t="shared" si="16"/>
        <v xml:space="preserve">  geom_point(aes(x=Genotype,y=mean),data = df.summary,shape = 5,  size = 3, stroke = 0.5, color='Black')+</v>
      </c>
      <c r="X38" t="str">
        <f t="shared" si="16"/>
        <v xml:space="preserve">  geom_point(aes(x=Genotype,y=mean),data = df.summary,shape = 5,  size = 3, stroke = 0.5, color='Black')+</v>
      </c>
      <c r="Y38" t="str">
        <f t="shared" si="16"/>
        <v xml:space="preserve">  geom_point(aes(x=Genotype,y=mean),data = df.summary,shape = 5,  size = 3, stroke = 0.5, color='Black')+</v>
      </c>
      <c r="Z38" t="str">
        <f t="shared" si="16"/>
        <v xml:space="preserve">  geom_point(aes(x=Genotype,y=mean),data = df.summary,shape = 5,  size = 3, stroke = 0.5, color='Black')+</v>
      </c>
      <c r="AA38" t="str">
        <f t="shared" si="16"/>
        <v xml:space="preserve">  geom_point(aes(x=Genotype,y=mean),data = df.summary,shape = 5,  size = 3, stroke = 0.5, color='Black')+</v>
      </c>
      <c r="AB38" t="str">
        <f t="shared" si="16"/>
        <v xml:space="preserve">  geom_point(aes(x=Genotype,y=mean),data = df.summary,shape = 5,  size = 3, stroke = 0.5, color='Black')+</v>
      </c>
      <c r="AC38" t="str">
        <f t="shared" si="16"/>
        <v xml:space="preserve">  geom_point(aes(x=Genotype,y=mean),data = df.summary,shape = 5,  size = 3, stroke = 0.5, color='Black')+</v>
      </c>
      <c r="AD38" t="str">
        <f t="shared" si="16"/>
        <v xml:space="preserve">  geom_point(aes(x=Genotype,y=mean),data = df.summary,shape = 5,  size = 3, stroke = 0.5, color='Black')+</v>
      </c>
      <c r="AE38" t="str">
        <f t="shared" si="6"/>
        <v xml:space="preserve">  geom_point(aes(x=Genotype,y=mean),data = df.summary,shape = 5,  size = 3, stroke = 0.5, color='Black')+</v>
      </c>
      <c r="AF38" t="str">
        <f t="shared" ref="AF38" si="17">$B18</f>
        <v xml:space="preserve">  geom_point(aes(x=Genotype,y=mean),data = df.summary,shape = 5,  size = 3, stroke = 0.5, color='Black')+</v>
      </c>
      <c r="AG38" t="str">
        <f t="shared" si="8"/>
        <v xml:space="preserve">  geom_point(aes(x=Genotype,y=mean),data = df.summary,shape = 5,  size = 3, stroke = 0.5, color='Black')+</v>
      </c>
      <c r="AH38" t="str">
        <f t="shared" ref="AH38:AL38" si="18">$B18</f>
        <v xml:space="preserve">  geom_point(aes(x=Genotype,y=mean),data = df.summary,shape = 5,  size = 3, stroke = 0.5, color='Black')+</v>
      </c>
      <c r="AI38" t="str">
        <f t="shared" si="18"/>
        <v xml:space="preserve">  geom_point(aes(x=Genotype,y=mean),data = df.summary,shape = 5,  size = 3, stroke = 0.5, color='Black')+</v>
      </c>
      <c r="AJ38" t="str">
        <f t="shared" si="18"/>
        <v xml:space="preserve">  geom_point(aes(x=Genotype,y=mean),data = df.summary,shape = 5,  size = 3, stroke = 0.5, color='Black')+</v>
      </c>
      <c r="AK38" t="str">
        <f t="shared" si="18"/>
        <v xml:space="preserve">  geom_point(aes(x=Genotype,y=mean),data = df.summary,shape = 5,  size = 3, stroke = 0.5, color='Black')+</v>
      </c>
      <c r="AL38" t="str">
        <f t="shared" si="18"/>
        <v xml:space="preserve">  geom_point(aes(x=Genotype,y=mean),data = df.summary,shape = 5,  size = 3, stroke = 0.5, color='Black')+</v>
      </c>
    </row>
    <row r="39" spans="1:38" x14ac:dyDescent="0.25">
      <c r="A39" s="1">
        <v>8</v>
      </c>
      <c r="B39" t="str">
        <f t="shared" si="4"/>
        <v xml:space="preserve">  geom_errorbar(aes(x=Genotype,y=mean,ymin = mean-se, ymax = mean+se),data = df.summary, width=0.2, color='Black')+</v>
      </c>
      <c r="C39" t="str">
        <f t="shared" ref="C39:AD39" si="19">$B19</f>
        <v xml:space="preserve">  geom_errorbar(aes(x=Genotype,y=mean,ymin = mean-se, ymax = mean+se),data = df.summary, width=0.2, color='Black')+</v>
      </c>
      <c r="D39" t="str">
        <f t="shared" si="19"/>
        <v xml:space="preserve">  geom_errorbar(aes(x=Genotype,y=mean,ymin = mean-se, ymax = mean+se),data = df.summary, width=0.2, color='Black')+</v>
      </c>
      <c r="E39" t="str">
        <f t="shared" si="19"/>
        <v xml:space="preserve">  geom_errorbar(aes(x=Genotype,y=mean,ymin = mean-se, ymax = mean+se),data = df.summary, width=0.2, color='Black')+</v>
      </c>
      <c r="F39" t="str">
        <f t="shared" si="19"/>
        <v xml:space="preserve">  geom_errorbar(aes(x=Genotype,y=mean,ymin = mean-se, ymax = mean+se),data = df.summary, width=0.2, color='Black')+</v>
      </c>
      <c r="G39" t="str">
        <f t="shared" si="19"/>
        <v xml:space="preserve">  geom_errorbar(aes(x=Genotype,y=mean,ymin = mean-se, ymax = mean+se),data = df.summary, width=0.2, color='Black')+</v>
      </c>
      <c r="H39" t="str">
        <f t="shared" si="19"/>
        <v xml:space="preserve">  geom_errorbar(aes(x=Genotype,y=mean,ymin = mean-se, ymax = mean+se),data = df.summary, width=0.2, color='Black')+</v>
      </c>
      <c r="I39" t="str">
        <f t="shared" si="19"/>
        <v xml:space="preserve">  geom_errorbar(aes(x=Genotype,y=mean,ymin = mean-se, ymax = mean+se),data = df.summary, width=0.2, color='Black')+</v>
      </c>
      <c r="J39" t="str">
        <f t="shared" si="19"/>
        <v xml:space="preserve">  geom_errorbar(aes(x=Genotype,y=mean,ymin = mean-se, ymax = mean+se),data = df.summary, width=0.2, color='Black')+</v>
      </c>
      <c r="K39" t="str">
        <f t="shared" si="19"/>
        <v xml:space="preserve">  geom_errorbar(aes(x=Genotype,y=mean,ymin = mean-se, ymax = mean+se),data = df.summary, width=0.2, color='Black')+</v>
      </c>
      <c r="L39" t="str">
        <f t="shared" si="19"/>
        <v xml:space="preserve">  geom_errorbar(aes(x=Genotype,y=mean,ymin = mean-se, ymax = mean+se),data = df.summary, width=0.2, color='Black')+</v>
      </c>
      <c r="M39" t="str">
        <f t="shared" si="19"/>
        <v xml:space="preserve">  geom_errorbar(aes(x=Genotype,y=mean,ymin = mean-se, ymax = mean+se),data = df.summary, width=0.2, color='Black')+</v>
      </c>
      <c r="N39" t="str">
        <f t="shared" si="19"/>
        <v xml:space="preserve">  geom_errorbar(aes(x=Genotype,y=mean,ymin = mean-se, ymax = mean+se),data = df.summary, width=0.2, color='Black')+</v>
      </c>
      <c r="O39" t="str">
        <f t="shared" si="19"/>
        <v xml:space="preserve">  geom_errorbar(aes(x=Genotype,y=mean,ymin = mean-se, ymax = mean+se),data = df.summary, width=0.2, color='Black')+</v>
      </c>
      <c r="P39" t="str">
        <f t="shared" si="19"/>
        <v xml:space="preserve">  geom_errorbar(aes(x=Genotype,y=mean,ymin = mean-se, ymax = mean+se),data = df.summary, width=0.2, color='Black')+</v>
      </c>
      <c r="Q39" t="str">
        <f t="shared" si="19"/>
        <v xml:space="preserve">  geom_errorbar(aes(x=Genotype,y=mean,ymin = mean-se, ymax = mean+se),data = df.summary, width=0.2, color='Black')+</v>
      </c>
      <c r="R39" t="str">
        <f t="shared" si="19"/>
        <v xml:space="preserve">  geom_errorbar(aes(x=Genotype,y=mean,ymin = mean-se, ymax = mean+se),data = df.summary, width=0.2, color='Black')+</v>
      </c>
      <c r="S39" t="str">
        <f t="shared" si="19"/>
        <v xml:space="preserve">  geom_errorbar(aes(x=Genotype,y=mean,ymin = mean-se, ymax = mean+se),data = df.summary, width=0.2, color='Black')+</v>
      </c>
      <c r="T39" t="str">
        <f t="shared" si="19"/>
        <v xml:space="preserve">  geom_errorbar(aes(x=Genotype,y=mean,ymin = mean-se, ymax = mean+se),data = df.summary, width=0.2, color='Black')+</v>
      </c>
      <c r="U39" t="str">
        <f t="shared" si="19"/>
        <v xml:space="preserve">  geom_errorbar(aes(x=Genotype,y=mean,ymin = mean-se, ymax = mean+se),data = df.summary, width=0.2, color='Black')+</v>
      </c>
      <c r="V39" t="str">
        <f t="shared" si="19"/>
        <v xml:space="preserve">  geom_errorbar(aes(x=Genotype,y=mean,ymin = mean-se, ymax = mean+se),data = df.summary, width=0.2, color='Black')+</v>
      </c>
      <c r="W39" t="str">
        <f t="shared" si="19"/>
        <v xml:space="preserve">  geom_errorbar(aes(x=Genotype,y=mean,ymin = mean-se, ymax = mean+se),data = df.summary, width=0.2, color='Black')+</v>
      </c>
      <c r="X39" t="str">
        <f t="shared" si="19"/>
        <v xml:space="preserve">  geom_errorbar(aes(x=Genotype,y=mean,ymin = mean-se, ymax = mean+se),data = df.summary, width=0.2, color='Black')+</v>
      </c>
      <c r="Y39" t="str">
        <f t="shared" si="19"/>
        <v xml:space="preserve">  geom_errorbar(aes(x=Genotype,y=mean,ymin = mean-se, ymax = mean+se),data = df.summary, width=0.2, color='Black')+</v>
      </c>
      <c r="Z39" t="str">
        <f t="shared" si="19"/>
        <v xml:space="preserve">  geom_errorbar(aes(x=Genotype,y=mean,ymin = mean-se, ymax = mean+se),data = df.summary, width=0.2, color='Black')+</v>
      </c>
      <c r="AA39" t="str">
        <f t="shared" si="19"/>
        <v xml:space="preserve">  geom_errorbar(aes(x=Genotype,y=mean,ymin = mean-se, ymax = mean+se),data = df.summary, width=0.2, color='Black')+</v>
      </c>
      <c r="AB39" t="str">
        <f t="shared" si="19"/>
        <v xml:space="preserve">  geom_errorbar(aes(x=Genotype,y=mean,ymin = mean-se, ymax = mean+se),data = df.summary, width=0.2, color='Black')+</v>
      </c>
      <c r="AC39" t="str">
        <f t="shared" si="19"/>
        <v xml:space="preserve">  geom_errorbar(aes(x=Genotype,y=mean,ymin = mean-se, ymax = mean+se),data = df.summary, width=0.2, color='Black')+</v>
      </c>
      <c r="AD39" t="str">
        <f t="shared" si="19"/>
        <v xml:space="preserve">  geom_errorbar(aes(x=Genotype,y=mean,ymin = mean-se, ymax = mean+se),data = df.summary, width=0.2, color='Black')+</v>
      </c>
      <c r="AE39" t="str">
        <f t="shared" si="6"/>
        <v xml:space="preserve">  geom_errorbar(aes(x=Genotype,y=mean,ymin = mean-se, ymax = mean+se),data = df.summary, width=0.2, color='Black')+</v>
      </c>
      <c r="AF39" t="str">
        <f t="shared" ref="AF39" si="20">$B19</f>
        <v xml:space="preserve">  geom_errorbar(aes(x=Genotype,y=mean,ymin = mean-se, ymax = mean+se),data = df.summary, width=0.2, color='Black')+</v>
      </c>
      <c r="AG39" t="str">
        <f t="shared" si="8"/>
        <v xml:space="preserve">  geom_errorbar(aes(x=Genotype,y=mean,ymin = mean-se, ymax = mean+se),data = df.summary, width=0.2, color='Black')+</v>
      </c>
      <c r="AH39" t="str">
        <f t="shared" ref="AH39:AL39" si="21">$B19</f>
        <v xml:space="preserve">  geom_errorbar(aes(x=Genotype,y=mean,ymin = mean-se, ymax = mean+se),data = df.summary, width=0.2, color='Black')+</v>
      </c>
      <c r="AI39" t="str">
        <f t="shared" si="21"/>
        <v xml:space="preserve">  geom_errorbar(aes(x=Genotype,y=mean,ymin = mean-se, ymax = mean+se),data = df.summary, width=0.2, color='Black')+</v>
      </c>
      <c r="AJ39" t="str">
        <f t="shared" si="21"/>
        <v xml:space="preserve">  geom_errorbar(aes(x=Genotype,y=mean,ymin = mean-se, ymax = mean+se),data = df.summary, width=0.2, color='Black')+</v>
      </c>
      <c r="AK39" t="str">
        <f t="shared" si="21"/>
        <v xml:space="preserve">  geom_errorbar(aes(x=Genotype,y=mean,ymin = mean-se, ymax = mean+se),data = df.summary, width=0.2, color='Black')+</v>
      </c>
      <c r="AL39" t="str">
        <f t="shared" si="21"/>
        <v xml:space="preserve">  geom_errorbar(aes(x=Genotype,y=mean,ymin = mean-se, ymax = mean+se),data = df.summary, width=0.2, color='Black')+</v>
      </c>
    </row>
    <row r="40" spans="1:38" x14ac:dyDescent="0.25">
      <c r="A40" s="1">
        <v>9</v>
      </c>
      <c r="B40" t="str">
        <f t="shared" si="4"/>
        <v xml:space="preserve">  #stat_compare_means(method = 'anova', label.y.npc = 'top',label.x.npc ='middle',aes(label = ..p.signif..))+</v>
      </c>
      <c r="C40" t="str">
        <f t="shared" ref="C40:AD40" si="22">$B20</f>
        <v xml:space="preserve">  #stat_compare_means(method = 'anova', label.y.npc = 'top',label.x.npc ='middle',aes(label = ..p.signif..))+</v>
      </c>
      <c r="D40" t="str">
        <f t="shared" si="22"/>
        <v xml:space="preserve">  #stat_compare_means(method = 'anova', label.y.npc = 'top',label.x.npc ='middle',aes(label = ..p.signif..))+</v>
      </c>
      <c r="E40" t="str">
        <f t="shared" si="22"/>
        <v xml:space="preserve">  #stat_compare_means(method = 'anova', label.y.npc = 'top',label.x.npc ='middle',aes(label = ..p.signif..))+</v>
      </c>
      <c r="F40" t="str">
        <f t="shared" si="22"/>
        <v xml:space="preserve">  #stat_compare_means(method = 'anova', label.y.npc = 'top',label.x.npc ='middle',aes(label = ..p.signif..))+</v>
      </c>
      <c r="G40" t="str">
        <f t="shared" si="22"/>
        <v xml:space="preserve">  #stat_compare_means(method = 'anova', label.y.npc = 'top',label.x.npc ='middle',aes(label = ..p.signif..))+</v>
      </c>
      <c r="H40" t="str">
        <f t="shared" si="22"/>
        <v xml:space="preserve">  #stat_compare_means(method = 'anova', label.y.npc = 'top',label.x.npc ='middle',aes(label = ..p.signif..))+</v>
      </c>
      <c r="I40" t="str">
        <f t="shared" si="22"/>
        <v xml:space="preserve">  #stat_compare_means(method = 'anova', label.y.npc = 'top',label.x.npc ='middle',aes(label = ..p.signif..))+</v>
      </c>
      <c r="J40" t="str">
        <f t="shared" si="22"/>
        <v xml:space="preserve">  #stat_compare_means(method = 'anova', label.y.npc = 'top',label.x.npc ='middle',aes(label = ..p.signif..))+</v>
      </c>
      <c r="K40" t="str">
        <f t="shared" si="22"/>
        <v xml:space="preserve">  #stat_compare_means(method = 'anova', label.y.npc = 'top',label.x.npc ='middle',aes(label = ..p.signif..))+</v>
      </c>
      <c r="L40" t="str">
        <f t="shared" si="22"/>
        <v xml:space="preserve">  #stat_compare_means(method = 'anova', label.y.npc = 'top',label.x.npc ='middle',aes(label = ..p.signif..))+</v>
      </c>
      <c r="M40" t="str">
        <f t="shared" si="22"/>
        <v xml:space="preserve">  #stat_compare_means(method = 'anova', label.y.npc = 'top',label.x.npc ='middle',aes(label = ..p.signif..))+</v>
      </c>
      <c r="N40" t="str">
        <f t="shared" si="22"/>
        <v xml:space="preserve">  #stat_compare_means(method = 'anova', label.y.npc = 'top',label.x.npc ='middle',aes(label = ..p.signif..))+</v>
      </c>
      <c r="O40" t="str">
        <f t="shared" si="22"/>
        <v xml:space="preserve">  #stat_compare_means(method = 'anova', label.y.npc = 'top',label.x.npc ='middle',aes(label = ..p.signif..))+</v>
      </c>
      <c r="P40" t="str">
        <f t="shared" si="22"/>
        <v xml:space="preserve">  #stat_compare_means(method = 'anova', label.y.npc = 'top',label.x.npc ='middle',aes(label = ..p.signif..))+</v>
      </c>
      <c r="Q40" t="str">
        <f t="shared" si="22"/>
        <v xml:space="preserve">  #stat_compare_means(method = 'anova', label.y.npc = 'top',label.x.npc ='middle',aes(label = ..p.signif..))+</v>
      </c>
      <c r="R40" t="str">
        <f t="shared" si="22"/>
        <v xml:space="preserve">  #stat_compare_means(method = 'anova', label.y.npc = 'top',label.x.npc ='middle',aes(label = ..p.signif..))+</v>
      </c>
      <c r="S40" t="str">
        <f t="shared" si="22"/>
        <v xml:space="preserve">  #stat_compare_means(method = 'anova', label.y.npc = 'top',label.x.npc ='middle',aes(label = ..p.signif..))+</v>
      </c>
      <c r="T40" t="str">
        <f t="shared" si="22"/>
        <v xml:space="preserve">  #stat_compare_means(method = 'anova', label.y.npc = 'top',label.x.npc ='middle',aes(label = ..p.signif..))+</v>
      </c>
      <c r="U40" t="str">
        <f t="shared" si="22"/>
        <v xml:space="preserve">  #stat_compare_means(method = 'anova', label.y.npc = 'top',label.x.npc ='middle',aes(label = ..p.signif..))+</v>
      </c>
      <c r="V40" t="str">
        <f t="shared" si="22"/>
        <v xml:space="preserve">  #stat_compare_means(method = 'anova', label.y.npc = 'top',label.x.npc ='middle',aes(label = ..p.signif..))+</v>
      </c>
      <c r="W40" t="str">
        <f t="shared" si="22"/>
        <v xml:space="preserve">  #stat_compare_means(method = 'anova', label.y.npc = 'top',label.x.npc ='middle',aes(label = ..p.signif..))+</v>
      </c>
      <c r="X40" t="str">
        <f t="shared" si="22"/>
        <v xml:space="preserve">  #stat_compare_means(method = 'anova', label.y.npc = 'top',label.x.npc ='middle',aes(label = ..p.signif..))+</v>
      </c>
      <c r="Y40" t="str">
        <f t="shared" si="22"/>
        <v xml:space="preserve">  #stat_compare_means(method = 'anova', label.y.npc = 'top',label.x.npc ='middle',aes(label = ..p.signif..))+</v>
      </c>
      <c r="Z40" t="str">
        <f t="shared" si="22"/>
        <v xml:space="preserve">  #stat_compare_means(method = 'anova', label.y.npc = 'top',label.x.npc ='middle',aes(label = ..p.signif..))+</v>
      </c>
      <c r="AA40" t="str">
        <f t="shared" si="22"/>
        <v xml:space="preserve">  #stat_compare_means(method = 'anova', label.y.npc = 'top',label.x.npc ='middle',aes(label = ..p.signif..))+</v>
      </c>
      <c r="AB40" t="str">
        <f t="shared" si="22"/>
        <v xml:space="preserve">  #stat_compare_means(method = 'anova', label.y.npc = 'top',label.x.npc ='middle',aes(label = ..p.signif..))+</v>
      </c>
      <c r="AC40" t="str">
        <f t="shared" si="22"/>
        <v xml:space="preserve">  #stat_compare_means(method = 'anova', label.y.npc = 'top',label.x.npc ='middle',aes(label = ..p.signif..))+</v>
      </c>
      <c r="AD40" t="str">
        <f t="shared" si="22"/>
        <v xml:space="preserve">  #stat_compare_means(method = 'anova', label.y.npc = 'top',label.x.npc ='middle',aes(label = ..p.signif..))+</v>
      </c>
      <c r="AE40" t="str">
        <f t="shared" si="6"/>
        <v xml:space="preserve">  #stat_compare_means(method = 'anova', label.y.npc = 'top',label.x.npc ='middle',aes(label = ..p.signif..))+</v>
      </c>
      <c r="AF40" t="str">
        <f t="shared" ref="AF40" si="23">$B20</f>
        <v xml:space="preserve">  #stat_compare_means(method = 'anova', label.y.npc = 'top',label.x.npc ='middle',aes(label = ..p.signif..))+</v>
      </c>
      <c r="AG40" t="str">
        <f t="shared" si="8"/>
        <v xml:space="preserve">  #stat_compare_means(method = 'anova', label.y.npc = 'top',label.x.npc ='middle',aes(label = ..p.signif..))+</v>
      </c>
      <c r="AH40" t="str">
        <f t="shared" ref="AH40:AL40" si="24">$B20</f>
        <v xml:space="preserve">  #stat_compare_means(method = 'anova', label.y.npc = 'top',label.x.npc ='middle',aes(label = ..p.signif..))+</v>
      </c>
      <c r="AI40" t="str">
        <f t="shared" si="24"/>
        <v xml:space="preserve">  #stat_compare_means(method = 'anova', label.y.npc = 'top',label.x.npc ='middle',aes(label = ..p.signif..))+</v>
      </c>
      <c r="AJ40" t="str">
        <f t="shared" si="24"/>
        <v xml:space="preserve">  #stat_compare_means(method = 'anova', label.y.npc = 'top',label.x.npc ='middle',aes(label = ..p.signif..))+</v>
      </c>
      <c r="AK40" t="str">
        <f t="shared" si="24"/>
        <v xml:space="preserve">  #stat_compare_means(method = 'anova', label.y.npc = 'top',label.x.npc ='middle',aes(label = ..p.signif..))+</v>
      </c>
      <c r="AL40" t="str">
        <f t="shared" si="24"/>
        <v xml:space="preserve">  #stat_compare_means(method = 'anova', label.y.npc = 'top',label.x.npc ='middle',aes(label = ..p.signif..))+</v>
      </c>
    </row>
    <row r="41" spans="1:38" x14ac:dyDescent="0.25">
      <c r="A41" s="1">
        <v>10</v>
      </c>
      <c r="B41" t="str">
        <f>CONCATENATE($B21,B3,"'",$B23)</f>
        <v xml:space="preserve">  ylab('LA (mm)')+ xlab('Genotype')+</v>
      </c>
      <c r="C41" t="str">
        <f>CONCATENATE($B21,C3,"'",$B23)</f>
        <v xml:space="preserve">  ylab('CO (LV Trace) (mL/min)')+ xlab('Genotype')+</v>
      </c>
      <c r="D41" t="str">
        <f>CONCATENATE($B21,D3,"'",$B23)</f>
        <v xml:space="preserve">  ylab('Diameter.d (LV Trace) (mm)')+ xlab('Genotype')+</v>
      </c>
      <c r="E41" t="str">
        <f>CONCATENATE($B21,E3,"'",$B23)</f>
        <v xml:space="preserve">  ylab('Diameter.s (LV Trace) (mm)')+ xlab('Genotype')+</v>
      </c>
      <c r="F41" t="str">
        <f>CONCATENATE($B21,F3,"'",$B23)</f>
        <v xml:space="preserve">  ylab('EF (%)')+ xlab('Genotype')+</v>
      </c>
      <c r="G41" t="str">
        <f>CONCATENATE($B21,G3,"'",$B23)</f>
        <v xml:space="preserve">  ylab('EF (LV Trace) (%)')+ xlab('Genotype')+</v>
      </c>
      <c r="H41" t="str">
        <f>CONCATENATE($B21,H3,"'",$B23)</f>
        <v xml:space="preserve">  ylab('FS (%)')+ xlab('Genotype')+</v>
      </c>
      <c r="I41" t="str">
        <f>CONCATENATE($B21,I3,"'",$B23)</f>
        <v xml:space="preserve">  ylab('FS (LV Trace) (%)')+ xlab('Genotype')+</v>
      </c>
      <c r="J41" t="str">
        <f>CONCATENATE($B21,J3,"'",$B23)</f>
        <v xml:space="preserve">  ylab('LV Mass (mg)')+ xlab('Genotype')+</v>
      </c>
      <c r="K41" t="str">
        <f>CONCATENATE($B21,K3,"'",$B23)</f>
        <v xml:space="preserve">  ylab('LV Mass (Corrected) (mg)')+ xlab('Genotype')+</v>
      </c>
      <c r="L41" t="str">
        <f>CONCATENATE($B21,L3,"'",$B23)</f>
        <v xml:space="preserve">  ylab('LV Vol.d (uL)')+ xlab('Genotype')+</v>
      </c>
      <c r="M41" t="str">
        <f>CONCATENATE($B21,M3,"'",$B23)</f>
        <v xml:space="preserve">  ylab('LV Vol.s (uL)')+ xlab('Genotype')+</v>
      </c>
      <c r="N41" t="str">
        <f>CONCATENATE($B21,N3,"'",$B23)</f>
        <v xml:space="preserve">  ylab('SV (LV Trace) (uL)')+ xlab('Genotype')+</v>
      </c>
      <c r="O41" t="str">
        <f>CONCATENATE($B21,O3,"'",$B23)</f>
        <v xml:space="preserve">  ylab('V.d (LV Trace) (uL)')+ xlab('Genotype')+</v>
      </c>
      <c r="P41" t="str">
        <f>CONCATENATE($B21,P3,"'",$B23)</f>
        <v xml:space="preserve">  ylab('V.s (LV Trace) (uL)')+ xlab('Genotype')+</v>
      </c>
      <c r="Q41" t="str">
        <f>CONCATENATE($B21,Q3,"'",$B23)</f>
        <v xml:space="preserve">  ylab('IVS.d_Depth (mm)')+ xlab('Genotype')+</v>
      </c>
      <c r="R41" t="str">
        <f>CONCATENATE($B21,R3,"'",$B23)</f>
        <v xml:space="preserve">  ylab('IVS.s_Depth (mm)')+ xlab('Genotype')+</v>
      </c>
      <c r="S41" t="str">
        <f>CONCATENATE($B21,S3,"'",$B23)</f>
        <v xml:space="preserve">  ylab('LVID.d_Depth (mm)')+ xlab('Genotype')+</v>
      </c>
      <c r="T41" t="str">
        <f>CONCATENATE($B21,T3,"'",$B23)</f>
        <v xml:space="preserve">  ylab('LVID.s_Depth (mm)')+ xlab('Genotype')+</v>
      </c>
      <c r="U41" t="str">
        <f>CONCATENATE($B21,U3,"'",$B23)</f>
        <v xml:space="preserve">  ylab('LVPW.d_Depth (mm)')+ xlab('Genotype')+</v>
      </c>
      <c r="V41" t="str">
        <f>CONCATENATE($B21,V3,"'",$B23)</f>
        <v xml:space="preserve">  ylab('LVPW.s_Depth (mm)')+ xlab('Genotype')+</v>
      </c>
      <c r="W41" t="str">
        <f>CONCATENATE($B21,W3,"'",$B23)</f>
        <v xml:space="preserve">  ylab('')+ xlab('Genotype')+</v>
      </c>
      <c r="X41" t="str">
        <f>CONCATENATE($B21,X3,"'",$B23)</f>
        <v xml:space="preserve">  ylab('')+ xlab('Genotype')+</v>
      </c>
      <c r="Y41" t="str">
        <f>CONCATENATE($B21,Y3,"'",$B23)</f>
        <v xml:space="preserve">  ylab('')+ xlab('Genotype')+</v>
      </c>
      <c r="Z41" t="str">
        <f>CONCATENATE($B21,Z3,"'",$B23)</f>
        <v xml:space="preserve">  ylab('')+ xlab('Genotype')+</v>
      </c>
      <c r="AA41" t="str">
        <f>CONCATENATE($B21,AA3,"'",$B23)</f>
        <v xml:space="preserve">  ylab('')+ xlab('Genotype')+</v>
      </c>
      <c r="AB41" t="str">
        <f>CONCATENATE($B21,AB3,"'",$B23)</f>
        <v xml:space="preserve">  ylab('')+ xlab('Genotype')+</v>
      </c>
      <c r="AC41" t="str">
        <f>CONCATENATE($B21,AC3,"'",$B23)</f>
        <v xml:space="preserve">  ylab('')+ xlab('Genotype')+</v>
      </c>
      <c r="AD41" t="str">
        <f>CONCATENATE($B21,AD3,"'",$B23)</f>
        <v xml:space="preserve">  ylab('')+ xlab('Genotype')+</v>
      </c>
      <c r="AE41" t="str">
        <f>CONCATENATE($B21,AE3,"'",$B23)</f>
        <v xml:space="preserve">  ylab('')+ xlab('Genotype')+</v>
      </c>
      <c r="AF41" t="str">
        <f>CONCATENATE($B21,AF3,"'",$B23)</f>
        <v xml:space="preserve">  ylab('')+ xlab('Genotype')+</v>
      </c>
      <c r="AG41" t="str">
        <f>CONCATENATE($B21,AG3,"'",$B23)</f>
        <v xml:space="preserve">  ylab('')+ xlab('Genotype')+</v>
      </c>
      <c r="AH41" t="str">
        <f>CONCATENATE($B21,AH3,"'",$B23)</f>
        <v xml:space="preserve">  ylab('')+ xlab('Genotype')+</v>
      </c>
      <c r="AI41" t="str">
        <f>CONCATENATE($B21,AI3,"'",$B23)</f>
        <v xml:space="preserve">  ylab('')+ xlab('Genotype')+</v>
      </c>
      <c r="AJ41" t="str">
        <f>CONCATENATE($B21,AJ3,"'",$B23)</f>
        <v xml:space="preserve">  ylab('')+ xlab('Genotype')+</v>
      </c>
      <c r="AK41" t="str">
        <f>CONCATENATE($B21,AK3,"'",$B23)</f>
        <v xml:space="preserve">  ylab('')+ xlab('Genotype')+</v>
      </c>
      <c r="AL41" t="str">
        <f>CONCATENATE($B21,AL3,"'",$B23)</f>
        <v xml:space="preserve">  ylab('')+ xlab('Genotype')+</v>
      </c>
    </row>
    <row r="42" spans="1:38" x14ac:dyDescent="0.25">
      <c r="A42" s="1">
        <v>11</v>
      </c>
      <c r="B42" t="str">
        <f>$B24</f>
        <v xml:space="preserve">  theme(axis.text.x = element_text(angle = 90))</v>
      </c>
      <c r="C42" t="str">
        <f t="shared" ref="C42:AD42" si="25">$B24</f>
        <v xml:space="preserve">  theme(axis.text.x = element_text(angle = 90))</v>
      </c>
      <c r="D42" t="str">
        <f t="shared" si="25"/>
        <v xml:space="preserve">  theme(axis.text.x = element_text(angle = 90))</v>
      </c>
      <c r="E42" t="str">
        <f t="shared" si="25"/>
        <v xml:space="preserve">  theme(axis.text.x = element_text(angle = 90))</v>
      </c>
      <c r="F42" t="str">
        <f t="shared" si="25"/>
        <v xml:space="preserve">  theme(axis.text.x = element_text(angle = 90))</v>
      </c>
      <c r="G42" t="str">
        <f t="shared" si="25"/>
        <v xml:space="preserve">  theme(axis.text.x = element_text(angle = 90))</v>
      </c>
      <c r="H42" t="str">
        <f t="shared" si="25"/>
        <v xml:space="preserve">  theme(axis.text.x = element_text(angle = 90))</v>
      </c>
      <c r="I42" t="str">
        <f t="shared" si="25"/>
        <v xml:space="preserve">  theme(axis.text.x = element_text(angle = 90))</v>
      </c>
      <c r="J42" t="str">
        <f t="shared" si="25"/>
        <v xml:space="preserve">  theme(axis.text.x = element_text(angle = 90))</v>
      </c>
      <c r="K42" t="str">
        <f t="shared" si="25"/>
        <v xml:space="preserve">  theme(axis.text.x = element_text(angle = 90))</v>
      </c>
      <c r="L42" t="str">
        <f t="shared" si="25"/>
        <v xml:space="preserve">  theme(axis.text.x = element_text(angle = 90))</v>
      </c>
      <c r="M42" t="str">
        <f t="shared" si="25"/>
        <v xml:space="preserve">  theme(axis.text.x = element_text(angle = 90))</v>
      </c>
      <c r="N42" t="str">
        <f t="shared" si="25"/>
        <v xml:space="preserve">  theme(axis.text.x = element_text(angle = 90))</v>
      </c>
      <c r="O42" t="str">
        <f t="shared" si="25"/>
        <v xml:space="preserve">  theme(axis.text.x = element_text(angle = 90))</v>
      </c>
      <c r="P42" t="str">
        <f t="shared" si="25"/>
        <v xml:space="preserve">  theme(axis.text.x = element_text(angle = 90))</v>
      </c>
      <c r="Q42" t="str">
        <f t="shared" si="25"/>
        <v xml:space="preserve">  theme(axis.text.x = element_text(angle = 90))</v>
      </c>
      <c r="R42" t="str">
        <f t="shared" si="25"/>
        <v xml:space="preserve">  theme(axis.text.x = element_text(angle = 90))</v>
      </c>
      <c r="S42" t="str">
        <f t="shared" si="25"/>
        <v xml:space="preserve">  theme(axis.text.x = element_text(angle = 90))</v>
      </c>
      <c r="T42" t="str">
        <f t="shared" si="25"/>
        <v xml:space="preserve">  theme(axis.text.x = element_text(angle = 90))</v>
      </c>
      <c r="U42" t="str">
        <f t="shared" si="25"/>
        <v xml:space="preserve">  theme(axis.text.x = element_text(angle = 90))</v>
      </c>
      <c r="V42" t="str">
        <f t="shared" si="25"/>
        <v xml:space="preserve">  theme(axis.text.x = element_text(angle = 90))</v>
      </c>
      <c r="W42" t="str">
        <f t="shared" si="25"/>
        <v xml:space="preserve">  theme(axis.text.x = element_text(angle = 90))</v>
      </c>
      <c r="X42" t="str">
        <f t="shared" si="25"/>
        <v xml:space="preserve">  theme(axis.text.x = element_text(angle = 90))</v>
      </c>
      <c r="Y42" t="str">
        <f t="shared" si="25"/>
        <v xml:space="preserve">  theme(axis.text.x = element_text(angle = 90))</v>
      </c>
      <c r="Z42" t="str">
        <f t="shared" si="25"/>
        <v xml:space="preserve">  theme(axis.text.x = element_text(angle = 90))</v>
      </c>
      <c r="AA42" t="str">
        <f t="shared" si="25"/>
        <v xml:space="preserve">  theme(axis.text.x = element_text(angle = 90))</v>
      </c>
      <c r="AB42" t="str">
        <f t="shared" si="25"/>
        <v xml:space="preserve">  theme(axis.text.x = element_text(angle = 90))</v>
      </c>
      <c r="AC42" t="str">
        <f t="shared" si="25"/>
        <v xml:space="preserve">  theme(axis.text.x = element_text(angle = 90))</v>
      </c>
      <c r="AD42" t="str">
        <f t="shared" si="25"/>
        <v xml:space="preserve">  theme(axis.text.x = element_text(angle = 90))</v>
      </c>
      <c r="AE42" t="str">
        <f>$B24</f>
        <v xml:space="preserve">  theme(axis.text.x = element_text(angle = 90))</v>
      </c>
      <c r="AF42" t="str">
        <f t="shared" ref="AF42" si="26">$B24</f>
        <v xml:space="preserve">  theme(axis.text.x = element_text(angle = 90))</v>
      </c>
      <c r="AG42" t="str">
        <f>$B24</f>
        <v xml:space="preserve">  theme(axis.text.x = element_text(angle = 90))</v>
      </c>
      <c r="AH42" t="str">
        <f t="shared" ref="AH42:AL42" si="27">$B24</f>
        <v xml:space="preserve">  theme(axis.text.x = element_text(angle = 90))</v>
      </c>
      <c r="AI42" t="str">
        <f t="shared" si="27"/>
        <v xml:space="preserve">  theme(axis.text.x = element_text(angle = 90))</v>
      </c>
      <c r="AJ42" t="str">
        <f t="shared" si="27"/>
        <v xml:space="preserve">  theme(axis.text.x = element_text(angle = 90))</v>
      </c>
      <c r="AK42" t="str">
        <f t="shared" si="27"/>
        <v xml:space="preserve">  theme(axis.text.x = element_text(angle = 90))</v>
      </c>
      <c r="AL42" t="str">
        <f t="shared" si="27"/>
        <v xml:space="preserve">  theme(axis.text.x = element_text(angle = 90))</v>
      </c>
    </row>
    <row r="43" spans="1:38" x14ac:dyDescent="0.25">
      <c r="A43" s="1">
        <v>12</v>
      </c>
      <c r="B43" t="str">
        <f>CONCATENATE($B25,B1,".",B2,$B27)</f>
        <v>ggsave(PlotEcho,path = 'Figures',file='1.LA_MM.tiff', width = 7.5, height = 5)</v>
      </c>
      <c r="C43" t="str">
        <f>CONCATENATE($B25,C1,".",C2,$B27)</f>
        <v>ggsave(PlotEcho,path = 'Figures',file='2.CO_LVTRACE.tiff', width = 7.5, height = 5)</v>
      </c>
      <c r="D43" t="str">
        <f>CONCATENATE($B25,D1,".",D2,$B27)</f>
        <v>ggsave(PlotEcho,path = 'Figures',file='3.DIAMETER_D_LV_TRACE_MM.tiff', width = 7.5, height = 5)</v>
      </c>
      <c r="E43" t="str">
        <f>CONCATENATE($B25,E1,".",E2,$B27)</f>
        <v>ggsave(PlotEcho,path = 'Figures',file='4.DIAMETER_S_LV_TRACE_MM.tiff', width = 7.5, height = 5)</v>
      </c>
      <c r="F43" t="str">
        <f>CONCATENATE($B25,F1,".",F2,$B27)</f>
        <v>ggsave(PlotEcho,path = 'Figures',file='5.EF.tiff', width = 7.5, height = 5)</v>
      </c>
      <c r="G43" t="str">
        <f>CONCATENATE($B25,G1,".",G2,$B27)</f>
        <v>ggsave(PlotEcho,path = 'Figures',file='6.EF_LV_TRACE.tiff', width = 7.5, height = 5)</v>
      </c>
      <c r="H43" t="str">
        <f>CONCATENATE($B25,H1,".",H2,$B27)</f>
        <v>ggsave(PlotEcho,path = 'Figures',file='7.FS.tiff', width = 7.5, height = 5)</v>
      </c>
      <c r="I43" t="str">
        <f>CONCATENATE($B25,I1,".",I2,$B27)</f>
        <v>ggsave(PlotEcho,path = 'Figures',file='8.FS_LV_TRACE.tiff', width = 7.5, height = 5)</v>
      </c>
      <c r="J43" t="str">
        <f>CONCATENATE($B25,J1,".",J2,$B27)</f>
        <v>ggsave(PlotEcho,path = 'Figures',file='9.LV_MASS_MG.tiff', width = 7.5, height = 5)</v>
      </c>
      <c r="K43" t="str">
        <f>CONCATENATE($B25,K1,".",K2,$B27)</f>
        <v>ggsave(PlotEcho,path = 'Figures',file='10.LV_MASS_CORRECTED_MG.tiff', width = 7.5, height = 5)</v>
      </c>
      <c r="L43" t="str">
        <f>CONCATENATE($B25,L1,".",L2,$B27)</f>
        <v>ggsave(PlotEcho,path = 'Figures',file='11.LV_VOL_D_UL.tiff', width = 7.5, height = 5)</v>
      </c>
      <c r="M43" t="str">
        <f>CONCATENATE($B25,M1,".",M2,$B27)</f>
        <v>ggsave(PlotEcho,path = 'Figures',file='12.LV_VOL_S_UL.tiff', width = 7.5, height = 5)</v>
      </c>
      <c r="N43" t="str">
        <f>CONCATENATE($B25,N1,".",N2,$B27)</f>
        <v>ggsave(PlotEcho,path = 'Figures',file='13.SV_LV_TRACE_UL.tiff', width = 7.5, height = 5)</v>
      </c>
      <c r="O43" t="str">
        <f>CONCATENATE($B25,O1,".",O2,$B27)</f>
        <v>ggsave(PlotEcho,path = 'Figures',file='14.V_D_LV_TRACE_UL.tiff', width = 7.5, height = 5)</v>
      </c>
      <c r="P43" t="str">
        <f>CONCATENATE($B25,P1,".",P2,$B27)</f>
        <v>ggsave(PlotEcho,path = 'Figures',file='15.V_S_LV_TRACE_UL.tiff', width = 7.5, height = 5)</v>
      </c>
      <c r="Q43" t="str">
        <f>CONCATENATE($B25,Q1,".",Q2,$B27)</f>
        <v>ggsave(PlotEcho,path = 'Figures',file='16.IVSd.tiff', width = 7.5, height = 5)</v>
      </c>
      <c r="R43" t="str">
        <f>CONCATENATE($B25,R1,".",R2,$B27)</f>
        <v>ggsave(PlotEcho,path = 'Figures',file='17.IVSs.tiff', width = 7.5, height = 5)</v>
      </c>
      <c r="S43" t="str">
        <f>CONCATENATE($B25,S1,".",S2,$B27)</f>
        <v>ggsave(PlotEcho,path = 'Figures',file='18.LVIDd.tiff', width = 7.5, height = 5)</v>
      </c>
      <c r="T43" t="str">
        <f>CONCATENATE($B25,T1,".",T2,$B27)</f>
        <v>ggsave(PlotEcho,path = 'Figures',file='19.LVIDs.tiff', width = 7.5, height = 5)</v>
      </c>
      <c r="U43" t="str">
        <f>CONCATENATE($B25,U1,".",U2,$B27)</f>
        <v>ggsave(PlotEcho,path = 'Figures',file='20.LVPWd.tiff', width = 7.5, height = 5)</v>
      </c>
      <c r="V43" t="str">
        <f>CONCATENATE($B25,V1,".",V2,$B27)</f>
        <v>ggsave(PlotEcho,path = 'Figures',file='21.LVPWs.tiff', width = 7.5, height = 5)</v>
      </c>
      <c r="W43" t="str">
        <f>CONCATENATE($B25,W1,".",W2,$B27)</f>
        <v>ggsave(PlotEcho,path = 'Figures',file='22..tiff', width = 7.5, height = 5)</v>
      </c>
      <c r="X43" t="str">
        <f>CONCATENATE($B25,X1,".",X2,$B27)</f>
        <v>ggsave(PlotEcho,path = 'Figures',file='23..tiff', width = 7.5, height = 5)</v>
      </c>
      <c r="Y43" t="str">
        <f>CONCATENATE($B25,Y1,".",Y2,$B27)</f>
        <v>ggsave(PlotEcho,path = 'Figures',file='24..tiff', width = 7.5, height = 5)</v>
      </c>
      <c r="Z43" t="str">
        <f>CONCATENATE($B25,Z1,".",Z2,$B27)</f>
        <v>ggsave(PlotEcho,path = 'Figures',file='25..tiff', width = 7.5, height = 5)</v>
      </c>
      <c r="AA43" t="str">
        <f>CONCATENATE($B25,AA1,".",AA2,$B27)</f>
        <v>ggsave(PlotEcho,path = 'Figures',file='26..tiff', width = 7.5, height = 5)</v>
      </c>
      <c r="AB43" t="str">
        <f>CONCATENATE($B25,AB1,".",AB2,$B27)</f>
        <v>ggsave(PlotEcho,path = 'Figures',file='27..tiff', width = 7.5, height = 5)</v>
      </c>
      <c r="AC43" t="str">
        <f>CONCATENATE($B25,AC1,".",AC2,$B27)</f>
        <v>ggsave(PlotEcho,path = 'Figures',file='28..tiff', width = 7.5, height = 5)</v>
      </c>
      <c r="AD43" t="str">
        <f>CONCATENATE($B25,AD1,".",AD2,$B27)</f>
        <v>ggsave(PlotEcho,path = 'Figures',file='29..tiff', width = 7.5, height = 5)</v>
      </c>
      <c r="AE43" t="str">
        <f>CONCATENATE($B25,AE1,".",AE2,$B27)</f>
        <v>ggsave(PlotEcho,path = 'Figures',file='30..tiff', width = 7.5, height = 5)</v>
      </c>
      <c r="AF43" t="str">
        <f>CONCATENATE($B25,AF1,".",AF2,$B27)</f>
        <v>ggsave(PlotEcho,path = 'Figures',file='31..tiff', width = 7.5, height = 5)</v>
      </c>
      <c r="AG43" t="str">
        <f>CONCATENATE($B25,AG1,".",AG2,$B27)</f>
        <v>ggsave(PlotEcho,path = 'Figures',file='32..tiff', width = 7.5, height = 5)</v>
      </c>
      <c r="AH43" t="str">
        <f>CONCATENATE($B25,AH1,".",AH2,$B27)</f>
        <v>ggsave(PlotEcho,path = 'Figures',file='33..tiff', width = 7.5, height = 5)</v>
      </c>
      <c r="AI43" t="str">
        <f>CONCATENATE($B25,AI1,".",AI2,$B27)</f>
        <v>ggsave(PlotEcho,path = 'Figures',file='34..tiff', width = 7.5, height = 5)</v>
      </c>
      <c r="AJ43" t="str">
        <f>CONCATENATE($B25,AJ1,".",AJ2,$B27)</f>
        <v>ggsave(PlotEcho,path = 'Figures',file='35..tiff', width = 7.5, height = 5)</v>
      </c>
      <c r="AK43" t="str">
        <f>CONCATENATE($B25,AK1,".",AK2,$B27)</f>
        <v>ggsave(PlotEcho,path = 'Figures',file='36..tiff', width = 7.5, height = 5)</v>
      </c>
      <c r="AL43" t="str">
        <f>CONCATENATE($B25,AL1,".",AL2,$B27)</f>
        <v>ggsave(PlotEcho,path = 'Figures',file='..tiff', width = 7.5, height = 5)</v>
      </c>
    </row>
    <row r="44" spans="1:38" x14ac:dyDescent="0.25">
      <c r="A44" s="1">
        <v>13</v>
      </c>
      <c r="B44" t="str">
        <f>$B28</f>
        <v>```</v>
      </c>
      <c r="C44" t="str">
        <f t="shared" ref="C44:AL44" si="28">$B28</f>
        <v>```</v>
      </c>
      <c r="D44" t="str">
        <f t="shared" si="28"/>
        <v>```</v>
      </c>
      <c r="E44" t="str">
        <f t="shared" si="28"/>
        <v>```</v>
      </c>
      <c r="F44" t="str">
        <f t="shared" si="28"/>
        <v>```</v>
      </c>
      <c r="G44" t="str">
        <f t="shared" si="28"/>
        <v>```</v>
      </c>
      <c r="H44" t="str">
        <f t="shared" si="28"/>
        <v>```</v>
      </c>
      <c r="I44" t="str">
        <f t="shared" si="28"/>
        <v>```</v>
      </c>
      <c r="J44" t="str">
        <f t="shared" si="28"/>
        <v>```</v>
      </c>
      <c r="K44" t="str">
        <f t="shared" si="28"/>
        <v>```</v>
      </c>
      <c r="L44" t="str">
        <f t="shared" si="28"/>
        <v>```</v>
      </c>
      <c r="M44" t="str">
        <f t="shared" si="28"/>
        <v>```</v>
      </c>
      <c r="N44" t="str">
        <f t="shared" si="28"/>
        <v>```</v>
      </c>
      <c r="O44" t="str">
        <f t="shared" si="28"/>
        <v>```</v>
      </c>
      <c r="P44" t="str">
        <f t="shared" si="28"/>
        <v>```</v>
      </c>
      <c r="Q44" t="str">
        <f t="shared" si="28"/>
        <v>```</v>
      </c>
      <c r="R44" t="str">
        <f t="shared" si="28"/>
        <v>```</v>
      </c>
      <c r="S44" t="str">
        <f t="shared" si="28"/>
        <v>```</v>
      </c>
      <c r="T44" t="str">
        <f t="shared" si="28"/>
        <v>```</v>
      </c>
      <c r="U44" t="str">
        <f t="shared" si="28"/>
        <v>```</v>
      </c>
      <c r="V44" t="str">
        <f t="shared" si="28"/>
        <v>```</v>
      </c>
      <c r="W44" t="str">
        <f t="shared" si="28"/>
        <v>```</v>
      </c>
      <c r="X44" t="str">
        <f t="shared" si="28"/>
        <v>```</v>
      </c>
      <c r="Y44" t="str">
        <f t="shared" si="28"/>
        <v>```</v>
      </c>
      <c r="Z44" t="str">
        <f t="shared" si="28"/>
        <v>```</v>
      </c>
      <c r="AA44" t="str">
        <f t="shared" si="28"/>
        <v>```</v>
      </c>
      <c r="AB44" t="str">
        <f t="shared" si="28"/>
        <v>```</v>
      </c>
      <c r="AC44" t="str">
        <f t="shared" si="28"/>
        <v>```</v>
      </c>
      <c r="AD44" t="str">
        <f t="shared" si="28"/>
        <v>```</v>
      </c>
      <c r="AE44" t="str">
        <f t="shared" si="28"/>
        <v>```</v>
      </c>
      <c r="AF44" t="str">
        <f t="shared" si="28"/>
        <v>```</v>
      </c>
      <c r="AG44" t="str">
        <f t="shared" si="28"/>
        <v>```</v>
      </c>
      <c r="AH44" t="str">
        <f t="shared" si="28"/>
        <v>```</v>
      </c>
      <c r="AI44" t="str">
        <f t="shared" si="28"/>
        <v>```</v>
      </c>
      <c r="AJ44" t="str">
        <f t="shared" si="28"/>
        <v>```</v>
      </c>
      <c r="AK44" t="str">
        <f t="shared" si="28"/>
        <v>```</v>
      </c>
      <c r="AL44" t="str">
        <f t="shared" si="28"/>
        <v>```</v>
      </c>
    </row>
    <row r="45" spans="1:38" x14ac:dyDescent="0.25">
      <c r="B45" t="s">
        <v>179</v>
      </c>
      <c r="C45" t="s">
        <v>179</v>
      </c>
      <c r="D45" t="s">
        <v>179</v>
      </c>
      <c r="E45" t="s">
        <v>179</v>
      </c>
      <c r="F45" t="s">
        <v>179</v>
      </c>
      <c r="G45" t="s">
        <v>179</v>
      </c>
      <c r="H45" t="s">
        <v>179</v>
      </c>
      <c r="I45" t="s">
        <v>179</v>
      </c>
      <c r="J45" t="s">
        <v>179</v>
      </c>
      <c r="K45" t="s">
        <v>179</v>
      </c>
      <c r="L45" t="s">
        <v>179</v>
      </c>
      <c r="M45" t="s">
        <v>179</v>
      </c>
      <c r="N45" t="s">
        <v>179</v>
      </c>
      <c r="O45" t="s">
        <v>179</v>
      </c>
      <c r="P45" t="s">
        <v>179</v>
      </c>
      <c r="Q45" t="s">
        <v>179</v>
      </c>
      <c r="R45" t="s">
        <v>179</v>
      </c>
      <c r="S45" t="s">
        <v>179</v>
      </c>
      <c r="T45" t="s">
        <v>179</v>
      </c>
      <c r="U45" t="s">
        <v>179</v>
      </c>
      <c r="V45" t="s">
        <v>179</v>
      </c>
      <c r="W45" t="s">
        <v>179</v>
      </c>
      <c r="X45" t="s">
        <v>179</v>
      </c>
      <c r="Y45" t="s">
        <v>179</v>
      </c>
      <c r="Z45" t="s">
        <v>179</v>
      </c>
      <c r="AA45" t="s">
        <v>179</v>
      </c>
      <c r="AB45" t="s">
        <v>179</v>
      </c>
      <c r="AC45" t="s">
        <v>179</v>
      </c>
      <c r="AD45" t="s">
        <v>179</v>
      </c>
      <c r="AE45" t="s">
        <v>179</v>
      </c>
      <c r="AF45" t="s">
        <v>179</v>
      </c>
      <c r="AG45" t="s">
        <v>179</v>
      </c>
      <c r="AH45" t="s">
        <v>179</v>
      </c>
      <c r="AI45" t="s">
        <v>179</v>
      </c>
      <c r="AJ45" t="s">
        <v>179</v>
      </c>
      <c r="AK45" t="s">
        <v>179</v>
      </c>
      <c r="AL45" t="s">
        <v>179</v>
      </c>
    </row>
    <row r="46" spans="1:38" x14ac:dyDescent="0.25">
      <c r="A46" s="15" t="s">
        <v>202</v>
      </c>
      <c r="B46" s="11" t="str">
        <f>_xlfn.TEXTJOIN(CHAR(10),,B30:B45)</f>
        <v>#LA (mm)
```{r}
df.summary = Summarize(LA_MM ~ Model + Genotype, data=Graph_data)
df.summary$se &lt;- df.summary$sd/sqrt(df.summary$n)
PlotEcho&lt;- ggplot(data=Graph_data, aes(x= factor(Genotype, level = c('WT','Cdh5Mer','TACEff','TACEffCdh5Mer')), y=LA_MM,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ylab('LA (mm)')+ xlab('Genotype')+
  theme(axis.text.x = element_text(angle = 90))
ggsave(PlotEcho,path = 'Figures',file='1.LA_MM.tiff', width = 7.5, height = 5)
```
#</v>
      </c>
      <c r="C46" s="11" t="str">
        <f t="shared" ref="C46:AL46" si="29">_xlfn.TEXTJOIN(CHAR(10),,C30:C45)</f>
        <v>#CO (LV Trace) (mL/min)
```{r}
df.summary = Summarize(CO_LVTRACE ~ Model + Genotype, data=Graph_data)
df.summary$se &lt;- df.summary$sd/sqrt(df.summary$n)
PlotEcho&lt;- ggplot(data=Graph_data, aes(x= factor(Genotype, level = c('WT','Cdh5Mer','TACEff','TACEffCdh5Mer')), y=CO_LVTRACE,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ylab('CO (LV Trace) (mL/min)')+ xlab('Genotype')+
  theme(axis.text.x = element_text(angle = 90))
ggsave(PlotEcho,path = 'Figures',file='2.CO_LVTRACE.tiff', width = 7.5, height = 5)
```
#</v>
      </c>
      <c r="D46" s="11" t="str">
        <f t="shared" si="29"/>
        <v>#Diameter.d (LV Trace) (mm)
```{r}
df.summary = Summarize(DIAMETER_D_LV_TRACE_MM ~ Model + Genotype, data=Graph_data)
df.summary$se &lt;- df.summary$sd/sqrt(df.summary$n)
PlotEcho&lt;- ggplot(data=Graph_data, aes(x= factor(Genotype, level = c('WT','Cdh5Mer','TACEff','TACEffCdh5Mer')), y=DIAMETER_D_LV_TRACE_MM,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ylab('Diameter.d (LV Trace) (mm)')+ xlab('Genotype')+
  theme(axis.text.x = element_text(angle = 90))
ggsave(PlotEcho,path = 'Figures',file='3.DIAMETER_D_LV_TRACE_MM.tiff', width = 7.5, height = 5)
```
#</v>
      </c>
      <c r="E46" s="11" t="str">
        <f t="shared" si="29"/>
        <v>#Diameter.s (LV Trace) (mm)
```{r}
df.summary = Summarize(DIAMETER_S_LV_TRACE_MM ~ Model + Genotype, data=Graph_data)
df.summary$se &lt;- df.summary$sd/sqrt(df.summary$n)
PlotEcho&lt;- ggplot(data=Graph_data, aes(x= factor(Genotype, level = c('WT','Cdh5Mer','TACEff','TACEffCdh5Mer')), y=DIAMETER_S_LV_TRACE_MM,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ylab('Diameter.s (LV Trace) (mm)')+ xlab('Genotype')+
  theme(axis.text.x = element_text(angle = 90))
ggsave(PlotEcho,path = 'Figures',file='4.DIAMETER_S_LV_TRACE_MM.tiff', width = 7.5, height = 5)
```
#</v>
      </c>
      <c r="F46" s="11" t="str">
        <f t="shared" si="29"/>
        <v>#EF (%)
```{r}
df.summary = Summarize(EF ~ Model + Genotype, data=Graph_data)
df.summary$se &lt;- df.summary$sd/sqrt(df.summary$n)
PlotEcho&lt;- ggplot(data=Graph_data, aes(x= factor(Genotype, level = c('WT','Cdh5Mer','TACEff','TACEffCdh5Mer')), y=EF,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ylab('EF (%)')+ xlab('Genotype')+
  theme(axis.text.x = element_text(angle = 90))
ggsave(PlotEcho,path = 'Figures',file='5.EF.tiff', width = 7.5, height = 5)
```
#</v>
      </c>
      <c r="G46" s="11" t="str">
        <f t="shared" si="29"/>
        <v>#EF (LV Trace) (%)
```{r}
df.summary = Summarize(EF_LV_TRACE ~ Model + Genotype, data=Graph_data)
df.summary$se &lt;- df.summary$sd/sqrt(df.summary$n)
PlotEcho&lt;- ggplot(data=Graph_data, aes(x= factor(Genotype, level = c('WT','Cdh5Mer','TACEff','TACEffCdh5Mer')), y=EF_LV_TRACE,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ylab('EF (LV Trace) (%)')+ xlab('Genotype')+
  theme(axis.text.x = element_text(angle = 90))
ggsave(PlotEcho,path = 'Figures',file='6.EF_LV_TRACE.tiff', width = 7.5, height = 5)
```
#</v>
      </c>
      <c r="H46" s="11" t="str">
        <f t="shared" si="29"/>
        <v>#FS (%)
```{r}
df.summary = Summarize(FS ~ Model + Genotype, data=Graph_data)
df.summary$se &lt;- df.summary$sd/sqrt(df.summary$n)
PlotEcho&lt;- ggplot(data=Graph_data, aes(x= factor(Genotype, level = c('WT','Cdh5Mer','TACEff','TACEffCdh5Mer')), y=FS,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ylab('FS (%)')+ xlab('Genotype')+
  theme(axis.text.x = element_text(angle = 90))
ggsave(PlotEcho,path = 'Figures',file='7.FS.tiff', width = 7.5, height = 5)
```
#</v>
      </c>
      <c r="I46" s="11" t="str">
        <f t="shared" si="29"/>
        <v>#FS (LV Trace) (%)
```{r}
df.summary = Summarize(FS_LV_TRACE ~ Model + Genotype, data=Graph_data)
df.summary$se &lt;- df.summary$sd/sqrt(df.summary$n)
PlotEcho&lt;- ggplot(data=Graph_data, aes(x= factor(Genotype, level = c('WT','Cdh5Mer','TACEff','TACEffCdh5Mer')), y=FS_LV_TRACE,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ylab('FS (LV Trace) (%)')+ xlab('Genotype')+
  theme(axis.text.x = element_text(angle = 90))
ggsave(PlotEcho,path = 'Figures',file='8.FS_LV_TRACE.tiff', width = 7.5, height = 5)
```
#</v>
      </c>
      <c r="J46" s="11" t="str">
        <f t="shared" si="29"/>
        <v>#LV Mass (mg)
```{r}
df.summary = Summarize(LV_MASS_MG ~ Model + Genotype, data=Graph_data)
df.summary$se &lt;- df.summary$sd/sqrt(df.summary$n)
PlotEcho&lt;- ggplot(data=Graph_data, aes(x= factor(Genotype, level = c('WT','Cdh5Mer','TACEff','TACEffCdh5Mer')), y=LV_MASS_MG,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 Mass (mg)')+ xlab('Genotype')+
  theme(axis.text.x = element_text(angle = 90))
ggsave(PlotEcho,path = 'Figures',file='9.LV_MASS_MG.tiff', width = 7.5, height = 5)
```
#</v>
      </c>
      <c r="K46" s="11" t="str">
        <f t="shared" si="29"/>
        <v>#LV Mass (Corrected) (mg)
```{r}
df.summary = Summarize(LV_MASS_CORRECTED_MG ~ Model + Genotype, data=Graph_data)
df.summary$se &lt;- df.summary$sd/sqrt(df.summary$n)
PlotEcho&lt;- ggplot(data=Graph_data, aes(x= factor(Genotype, level = c('WT','Cdh5Mer','TACEff','TACEffCdh5Mer')), y=LV_MASS_CORRECTED_MG,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 Mass (Corrected) (mg)')+ xlab('Genotype')+
  theme(axis.text.x = element_text(angle = 90))
ggsave(PlotEcho,path = 'Figures',file='10.LV_MASS_CORRECTED_MG.tiff', width = 7.5, height = 5)
```
#</v>
      </c>
      <c r="L46" s="11" t="str">
        <f t="shared" si="29"/>
        <v>#LV Vol.d (uL)
```{r}
df.summary = Summarize(LV_VOL_D_UL ~ Model + Genotype, data=Graph_data)
df.summary$se &lt;- df.summary$sd/sqrt(df.summary$n)
PlotEcho&lt;- ggplot(data=Graph_data, aes(x= factor(Genotype, level = c('WT','Cdh5Mer','TACEff','TACEffCdh5Mer')), y=LV_VOL_D_UL,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 Vol.d (uL)')+ xlab('Genotype')+
  theme(axis.text.x = element_text(angle = 90))
ggsave(PlotEcho,path = 'Figures',file='11.LV_VOL_D_UL.tiff', width = 7.5, height = 5)
```
#</v>
      </c>
      <c r="M46" s="11" t="str">
        <f t="shared" si="29"/>
        <v>#LV Vol.s (uL)
```{r}
df.summary = Summarize(LV_VOL_S_UL ~ Model + Genotype, data=Graph_data)
df.summary$se &lt;- df.summary$sd/sqrt(df.summary$n)
PlotEcho&lt;- ggplot(data=Graph_data, aes(x= factor(Genotype, level = c('WT','Cdh5Mer','TACEff','TACEffCdh5Mer')), y=LV_VOL_S_UL,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 Vol.s (uL)')+ xlab('Genotype')+
  theme(axis.text.x = element_text(angle = 90))
ggsave(PlotEcho,path = 'Figures',file='12.LV_VOL_S_UL.tiff', width = 7.5, height = 5)
```
#</v>
      </c>
      <c r="N46" s="11" t="str">
        <f t="shared" si="29"/>
        <v>#SV (LV Trace) (uL)
```{r}
df.summary = Summarize(SV_LV_TRACE_UL ~ Model + Genotype, data=Graph_data)
df.summary$se &lt;- df.summary$sd/sqrt(df.summary$n)
PlotEcho&lt;- ggplot(data=Graph_data, aes(x= factor(Genotype, level = c('WT','Cdh5Mer','TACEff','TACEffCdh5Mer')), y=SV_LV_TRACE_UL,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ylab('SV (LV Trace) (uL)')+ xlab('Genotype')+
  theme(axis.text.x = element_text(angle = 90))
ggsave(PlotEcho,path = 'Figures',file='13.SV_LV_TRACE_UL.tiff', width = 7.5, height = 5)
```
#</v>
      </c>
      <c r="O46" s="11" t="str">
        <f t="shared" si="29"/>
        <v>#V.d (LV Trace) (uL)
```{r}
df.summary = Summarize(V_D_LV_TRACE_UL ~ Model + Genotype, data=Graph_data)
df.summary$se &lt;- df.summary$sd/sqrt(df.summary$n)
PlotEcho&lt;- ggplot(data=Graph_data, aes(x= factor(Genotype, level = c('WT','Cdh5Mer','TACEff','TACEffCdh5Mer')), y=V_D_LV_TRACE_UL,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ylab('V.d (LV Trace) (uL)')+ xlab('Genotype')+
  theme(axis.text.x = element_text(angle = 90))
ggsave(PlotEcho,path = 'Figures',file='14.V_D_LV_TRACE_UL.tiff', width = 7.5, height = 5)
```
#</v>
      </c>
      <c r="P46" s="11" t="str">
        <f t="shared" si="29"/>
        <v>#V.s (LV Trace) (uL)
```{r}
df.summary = Summarize(V_S_LV_TRACE_UL ~ Model + Genotype, data=Graph_data)
df.summary$se &lt;- df.summary$sd/sqrt(df.summary$n)
PlotEcho&lt;- ggplot(data=Graph_data, aes(x= factor(Genotype, level = c('WT','Cdh5Mer','TACEff','TACEffCdh5Mer')), y=V_S_LV_TRACE_UL,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ylab('V.s (LV Trace) (uL)')+ xlab('Genotype')+
  theme(axis.text.x = element_text(angle = 90))
ggsave(PlotEcho,path = 'Figures',file='15.V_S_LV_TRACE_UL.tiff', width = 7.5, height = 5)
```
#</v>
      </c>
      <c r="Q46" s="11" t="str">
        <f t="shared" si="29"/>
        <v>#IVS.d_Depth (mm)
```{r}
df.summary = Summarize(IVSd ~ Model + Genotype, data=Graph_data)
df.summary$se &lt;- df.summary$sd/sqrt(df.summary$n)
PlotEcho&lt;- ggplot(data=Graph_data, aes(x= factor(Genotype, level = c('WT','Cdh5Mer','TACEff','TACEffCdh5Mer')), y=IVSd,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ylab('IVS.d_Depth (mm)')+ xlab('Genotype')+
  theme(axis.text.x = element_text(angle = 90))
ggsave(PlotEcho,path = 'Figures',file='16.IVSd.tiff', width = 7.5, height = 5)
```
#</v>
      </c>
      <c r="R46" s="11" t="str">
        <f t="shared" si="29"/>
        <v>#IVS.s_Depth (mm)
```{r}
df.summary = Summarize(IVSs ~ Model + Genotype, data=Graph_data)
df.summary$se &lt;- df.summary$sd/sqrt(df.summary$n)
PlotEcho&lt;- ggplot(data=Graph_data, aes(x= factor(Genotype, level = c('WT','Cdh5Mer','TACEff','TACEffCdh5Mer')), y=IVSs,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ylab('IVS.s_Depth (mm)')+ xlab('Genotype')+
  theme(axis.text.x = element_text(angle = 90))
ggsave(PlotEcho,path = 'Figures',file='17.IVSs.tiff', width = 7.5, height = 5)
```
#</v>
      </c>
      <c r="S46" s="11" t="str">
        <f t="shared" si="29"/>
        <v>#LVID.d_Depth (mm)
```{r}
df.summary = Summarize(LVIDd ~ Model + Genotype, data=Graph_data)
df.summary$se &lt;- df.summary$sd/sqrt(df.summary$n)
PlotEcho&lt;- ggplot(data=Graph_data, aes(x= factor(Genotype, level = c('WT','Cdh5Mer','TACEff','TACEffCdh5Mer')), y=LVIDd,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ylab('LVID.d_Depth (mm)')+ xlab('Genotype')+
  theme(axis.text.x = element_text(angle = 90))
ggsave(PlotEcho,path = 'Figures',file='18.LVIDd.tiff', width = 7.5, height = 5)
```
#</v>
      </c>
      <c r="T46" s="11" t="str">
        <f t="shared" si="29"/>
        <v>#LVID.s_Depth (mm)
```{r}
df.summary = Summarize(LVIDs ~ Model + Genotype, data=Graph_data)
df.summary$se &lt;- df.summary$sd/sqrt(df.summary$n)
PlotEcho&lt;- ggplot(data=Graph_data, aes(x= factor(Genotype, level = c('WT','Cdh5Mer','TACEff','TACEffCdh5Mer')), y=LVIDs,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ylab('LVID.s_Depth (mm)')+ xlab('Genotype')+
  theme(axis.text.x = element_text(angle = 90))
ggsave(PlotEcho,path = 'Figures',file='19.LVIDs.tiff', width = 7.5, height = 5)
```
#</v>
      </c>
      <c r="U46" s="11" t="str">
        <f t="shared" si="29"/>
        <v>#LVPW.d_Depth (mm)
```{r}
df.summary = Summarize(LVPWd ~ Model + Genotype, data=Graph_data)
df.summary$se &lt;- df.summary$sd/sqrt(df.summary$n)
PlotEcho&lt;- ggplot(data=Graph_data, aes(x= factor(Genotype, level = c('WT','Cdh5Mer','TACEff','TACEffCdh5Mer')), y=LVPWd,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ylab('LVPW.d_Depth (mm)')+ xlab('Genotype')+
  theme(axis.text.x = element_text(angle = 90))
ggsave(PlotEcho,path = 'Figures',file='20.LVPWd.tiff', width = 7.5, height = 5)
```
#</v>
      </c>
      <c r="V46" s="11" t="str">
        <f t="shared" si="29"/>
        <v>#LVPW.s_Depth (mm)
```{r}
df.summary = Summarize(LVPWs ~ Model + Genotype, data=Graph_data)
df.summary$se &lt;- df.summary$sd/sqrt(df.summary$n)
PlotEcho&lt;- ggplot(data=Graph_data, aes(x= factor(Genotype, level = c('WT','Cdh5Mer','TACEff','TACEffCdh5Mer')), y=LVPWs,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ylab('LVPW.s_Depth (mm)')+ xlab('Genotype')+
  theme(axis.text.x = element_text(angle = 90))
ggsave(PlotEcho,path = 'Figures',file='21.LVPWs.tiff', width = 7.5, height = 5)
```
#</v>
      </c>
      <c r="W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'Figures',file='22..tiff', width = 7.5, height = 5)
```
#</v>
      </c>
      <c r="X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'Figures',file='23..tiff', width = 7.5, height = 5)
```
#</v>
      </c>
      <c r="Y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'Figures',file='24..tiff', width = 7.5, height = 5)
```
#</v>
      </c>
      <c r="Z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'Figures',file='25..tiff', width = 7.5, height = 5)
```
#</v>
      </c>
      <c r="AA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'Figures',file='26..tiff', width = 7.5, height = 5)
```
#</v>
      </c>
      <c r="AB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'Figures',file='27..tiff', width = 7.5, height = 5)
```
#</v>
      </c>
      <c r="AC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'Figures',file='28..tiff', width = 7.5, height = 5)
```
#</v>
      </c>
      <c r="AD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'Figures',file='29..tiff', width = 7.5, height = 5)
```
#</v>
      </c>
      <c r="AE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'Figures',file='30..tiff', width = 7.5, height = 5)
```
#</v>
      </c>
      <c r="AF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'Figures',file='31..tiff', width = 7.5, height = 5)
```
#</v>
      </c>
      <c r="AG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'Figures',file='32..tiff', width = 7.5, height = 5)
```
#</v>
      </c>
      <c r="AH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'Figures',file='33..tiff', width = 7.5, height = 5)
```
#</v>
      </c>
      <c r="AI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'Figures',file='34..tiff', width = 7.5, height = 5)
```
#</v>
      </c>
      <c r="AJ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'Figures',file='35..tiff', width = 7.5, height = 5)
```
#</v>
      </c>
      <c r="AK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'Figures',file='36..tiff', width = 7.5, height = 5)
```
#</v>
      </c>
      <c r="AL46" s="11" t="str">
        <f t="shared" si="29"/>
        <v>#
```{r}
df.summary = Summarize( ~ Model + Genotype, data=Graph_data)
df.summary$se &lt;- df.summary$sd/sqrt(df.summary$n)
PlotEcho&lt;- ggplot(data=Graph_data, aes(x= factor(Genotype, level = c('WT','Cdh5Mer','TACEff','TACEffCdh5Mer')), y=,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ylab('')+ xlab('Genotype')+
  theme(axis.text.x = element_text(angle = 90))
ggsave(PlotEcho,path = 'Figures',file='..tiff', width = 7.5, height = 5)
```
#</v>
      </c>
    </row>
    <row r="48" spans="1:38" x14ac:dyDescent="0.25">
      <c r="A48" s="15" t="s">
        <v>201</v>
      </c>
      <c r="B48" s="10" t="str">
        <f>_xlfn.TEXTJOIN(CHAR(10),TRUE,B46:V46)</f>
        <v>#LA (mm)
```{r}
df.summary = Summarize(LA_MM ~ Model + Genotype, data=Graph_data)
df.summary$se &lt;- df.summary$sd/sqrt(df.summary$n)
PlotEcho&lt;- ggplot(data=Graph_data, aes(x= factor(Genotype, level = c('WT','Cdh5Mer','TACEff','TACEffCdh5Mer')), y=LA_MM,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ylab('LA (mm)')+ xlab('Genotype')+
  theme(axis.text.x = element_text(angle = 90))
ggsave(PlotEcho,path = 'Figures',file='1.LA_MM.tiff', width = 7.5, height = 5)
```
#
#CO (LV Trace) (mL/min)
```{r}
df.summary = Summarize(CO_LVTRACE ~ Model + Genotype, data=Graph_data)
df.summary$se &lt;- df.summary$sd/sqrt(df.summary$n)
PlotEcho&lt;- ggplot(data=Graph_data, aes(x= factor(Genotype, level = c('WT','Cdh5Mer','TACEff','TACEffCdh5Mer')), y=CO_LVTRACE,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ylab('CO (LV Trace) (mL/min)')+ xlab('Genotype')+
  theme(axis.text.x = element_text(angle = 90))
ggsave(PlotEcho,path = 'Figures',file='2.CO_LVTRACE.tiff', width = 7.5, height = 5)
```
#
#Diameter.d (LV Trace) (mm)
```{r}
df.summary = Summarize(DIAMETER_D_LV_TRACE_MM ~ Model + Genotype, data=Graph_data)
df.summary$se &lt;- df.summary$sd/sqrt(df.summary$n)
PlotEcho&lt;- ggplot(data=Graph_data, aes(x= factor(Genotype, level = c('WT','Cdh5Mer','TACEff','TACEffCdh5Mer')), y=DIAMETER_D_LV_TRACE_MM,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ylab('Diameter.d (LV Trace) (mm)')+ xlab('Genotype')+
  theme(axis.text.x = element_text(angle = 90))
ggsave(PlotEcho,path = 'Figures',file='3.DIAMETER_D_LV_TRACE_MM.tiff', width = 7.5, height = 5)
```
#
#Diameter.s (LV Trace) (mm)
```{r}
df.summary = Summarize(DIAMETER_S_LV_TRACE_MM ~ Model + Genotype, data=Graph_data)
df.summary$se &lt;- df.summary$sd/sqrt(df.summary$n)
PlotEcho&lt;- ggplot(data=Graph_data, aes(x= factor(Genotype, level = c('WT','Cdh5Mer','TACEff','TACEffCdh5Mer')), y=DIAMETER_S_LV_TRACE_MM,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ylab('Diameter.s (LV Trace) (mm)')+ xlab('Genotype')+
  theme(axis.text.x = element_text(angle = 90))
ggsave(PlotEcho,path = 'Figures',file='4.DIAMETER_S_LV_TRACE_MM.tiff', width = 7.5, height = 5)
```
#
#EF (%)
```{r}
df.summary = Summarize(EF ~ Model + Genotype, data=Graph_data)
df.summary$se &lt;- df.summary$sd/sqrt(df.summary$n)
PlotEcho&lt;- ggplot(data=Graph_data, aes(x= factor(Genotype, level = c('WT','Cdh5Mer','TACEff','TACEffCdh5Mer')), y=EF,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ylab('EF (%)')+ xlab('Genotype')+
  theme(axis.text.x = element_text(angle = 90))
ggsave(PlotEcho,path = 'Figures',file='5.EF.tiff', width = 7.5, height = 5)
```
#
#EF (LV Trace) (%)
```{r}
df.summary = Summarize(EF_LV_TRACE ~ Model + Genotype, data=Graph_data)
df.summary$se &lt;- df.summary$sd/sqrt(df.summary$n)
PlotEcho&lt;- ggplot(data=Graph_data, aes(x= factor(Genotype, level = c('WT','Cdh5Mer','TACEff','TACEffCdh5Mer')), y=EF_LV_TRACE,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ylab('EF (LV Trace) (%)')+ xlab('Genotype')+
  theme(axis.text.x = element_text(angle = 90))
ggsave(PlotEcho,path = 'Figures',file='6.EF_LV_TRACE.tiff', width = 7.5, height = 5)
```
#
#FS (%)
```{r}
df.summary = Summarize(FS ~ Model + Genotype, data=Graph_data)
df.summary$se &lt;- df.summary$sd/sqrt(df.summary$n)
PlotEcho&lt;- ggplot(data=Graph_data, aes(x= factor(Genotype, level = c('WT','Cdh5Mer','TACEff','TACEffCdh5Mer')), y=FS,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ylab('FS (%)')+ xlab('Genotype')+
  theme(axis.text.x = element_text(angle = 90))
ggsave(PlotEcho,path = 'Figures',file='7.FS.tiff', width = 7.5, height = 5)
```
#
#FS (LV Trace) (%)
```{r}
df.summary = Summarize(FS_LV_TRACE ~ Model + Genotype, data=Graph_data)
df.summary$se &lt;- df.summary$sd/sqrt(df.summary$n)
PlotEcho&lt;- ggplot(data=Graph_data, aes(x= factor(Genotype, level = c('WT','Cdh5Mer','TACEff','TACEffCdh5Mer')), y=FS_LV_TRACE,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ylab('FS (LV Trace) (%)')+ xlab('Genotype')+
  theme(axis.text.x = element_text(angle = 90))
ggsave(PlotEcho,path = 'Figures',file='8.FS_LV_TRACE.tiff', width = 7.5, height = 5)
```
#
#LV Mass (mg)
```{r}
df.summary = Summarize(LV_MASS_MG ~ Model + Genotype, data=Graph_data)
df.summary$se &lt;- df.summary$sd/sqrt(df.summary$n)
PlotEcho&lt;- ggplot(data=Graph_data, aes(x= factor(Genotype, level = c('WT','Cdh5Mer','TACEff','TACEffCdh5Mer')), y=LV_MASS_MG,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 Mass (mg)')+ xlab('Genotype')+
  theme(axis.text.x = element_text(angle = 90))
ggsave(PlotEcho,path = 'Figures',file='9.LV_MASS_MG.tiff', width = 7.5, height = 5)
```
#
#LV Mass (Corrected) (mg)
```{r}
df.summary = Summarize(LV_MASS_CORRECTED_MG ~ Model + Genotype, data=Graph_data)
df.summary$se &lt;- df.summary$sd/sqrt(df.summary$n)
PlotEcho&lt;- ggplot(data=Graph_data, aes(x= factor(Genotype, level = c('WT','Cdh5Mer','TACEff','TACEffCdh5Mer')), y=LV_MASS_CORRECTED_MG,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 Mass (Corrected) (mg)')+ xlab('Genotype')+
  theme(axis.text.x = element_text(angle = 90))
ggsave(PlotEcho,path = 'Figures',file='10.LV_MASS_CORRECTED_MG.tiff', width = 7.5, height = 5)
```
#
#LV Vol.d (uL)
```{r}
df.summary = Summarize(LV_VOL_D_UL ~ Model + Genotype, data=Graph_data)
df.summary$se &lt;- df.summary$sd/sqrt(df.summary$n)
PlotEcho&lt;- ggplot(data=Graph_data, aes(x= factor(Genotype, level = c('WT','Cdh5Mer','TACEff','TACEffCdh5Mer')), y=LV_VOL_D_UL,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 Vol.d (uL)')+ xlab('Genotype')+
  theme(axis.text.x = element_text(angle = 90))
ggsave(PlotEcho,path = 'Figures',file='11.LV_VOL_D_UL.tiff', width = 7.5, height = 5)
```
#
#LV Vol.s (uL)
```{r}
df.summary = Summarize(LV_VOL_S_UL ~ Model + Genotype, data=Graph_data)
df.summary$se &lt;- df.summary$sd/sqrt(df.summary$n)
PlotEcho&lt;- ggplot(data=Graph_data, aes(x= factor(Genotype, level = c('WT','Cdh5Mer','TACEff','TACEffCdh5Mer')), y=LV_VOL_S_UL,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 Vol.s (uL)')+ xlab('Genotype')+
  theme(axis.text.x = element_text(angle = 90))
ggsave(PlotEcho,path = 'Figures',file='12.LV_VOL_S_UL.tiff', width = 7.5, height = 5)
```
#
#SV (LV Trace) (uL)
```{r}
df.summary = Summarize(SV_LV_TRACE_UL ~ Model + Genotype, data=Graph_data)
df.summary$se &lt;- df.summary$sd/sqrt(df.summary$n)
PlotEcho&lt;- ggplot(data=Graph_data, aes(x= factor(Genotype, level = c('WT','Cdh5Mer','TACEff','TACEffCdh5Mer')), y=SV_LV_TRACE_UL,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ylab('SV (LV Trace) (uL)')+ xlab('Genotype')+
  theme(axis.text.x = element_text(angle = 90))
ggsave(PlotEcho,path = 'Figures',file='13.SV_LV_TRACE_UL.tiff', width = 7.5, height = 5)
```
#
#V.d (LV Trace) (uL)
```{r}
df.summary = Summarize(V_D_LV_TRACE_UL ~ Model + Genotype, data=Graph_data)
df.summary$se &lt;- df.summary$sd/sqrt(df.summary$n)
PlotEcho&lt;- ggplot(data=Graph_data, aes(x= factor(Genotype, level = c('WT','Cdh5Mer','TACEff','TACEffCdh5Mer')), y=V_D_LV_TRACE_UL,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ylab('V.d (LV Trace) (uL)')+ xlab('Genotype')+
  theme(axis.text.x = element_text(angle = 90))
ggsave(PlotEcho,path = 'Figures',file='14.V_D_LV_TRACE_UL.tiff', width = 7.5, height = 5)
```
#
#V.s (LV Trace) (uL)
```{r}
df.summary = Summarize(V_S_LV_TRACE_UL ~ Model + Genotype, data=Graph_data)
df.summary$se &lt;- df.summary$sd/sqrt(df.summary$n)
PlotEcho&lt;- ggplot(data=Graph_data, aes(x= factor(Genotype, level = c('WT','Cdh5Mer','TACEff','TACEffCdh5Mer')), y=V_S_LV_TRACE_UL,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ylab('V.s (LV Trace) (uL)')+ xlab('Genotype')+
  theme(axis.text.x = element_text(angle = 90))
ggsave(PlotEcho,path = 'Figures',file='15.V_S_LV_TRACE_UL.tiff', width = 7.5, height = 5)
```
#
#IVS.d_Depth (mm)
```{r}
df.summary = Summarize(IVSd ~ Model + Genotype, data=Graph_data)
df.summary$se &lt;- df.summary$sd/sqrt(df.summary$n)
PlotEcho&lt;- ggplot(data=Graph_data, aes(x= factor(Genotype, level = c('WT','Cdh5Mer','TACEff','TACEffCdh5Mer')), y=IVSd,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ylab('IVS.d_Depth (mm)')+ xlab('Genotype')+
  theme(axis.text.x = element_text(angle = 90))
ggsave(PlotEcho,path = 'Figures',file='16.IVSd.tiff', width = 7.5, height = 5)
```
#
#IVS.s_Depth (mm)
```{r}
df.summary = Summarize(IVSs ~ Model + Genotype, data=Graph_data)
df.summary$se &lt;- df.summary$sd/sqrt(df.summary$n)
PlotEcho&lt;- ggplot(data=Graph_data, aes(x= factor(Genotype, level = c('WT','Cdh5Mer','TACEff','TACEffCdh5Mer')), y=IVSs,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ylab('IVS.s_Depth (mm)')+ xlab('Genotype')+
  theme(axis.text.x = element_text(angle = 90))
ggsave(PlotEcho,path = 'Figures',file='17.IVSs.tiff', width = 7.5, height = 5)
```
#
#LVID.d_Depth (mm)
```{r}
df.summary = Summarize(LVIDd ~ Model + Genotype, data=Graph_data)
df.summary$se &lt;- df.summary$sd/sqrt(df.summary$n)
PlotEcho&lt;- ggplot(data=Graph_data, aes(x= factor(Genotype, level = c('WT','Cdh5Mer','TACEff','TACEffCdh5Mer')), y=LVIDd,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ylab('LVID.d_Depth (mm)')+ xlab('Genotype')+
  theme(axis.text.x = element_text(angle = 90))
ggsave(PlotEcho,path = 'Figures',file='18.LVIDd.tiff', width = 7.5, height = 5)
```
#
#LVID.s_Depth (mm)
```{r}
df.summary = Summarize(LVIDs ~ Model + Genotype, data=Graph_data)
df.summary$se &lt;- df.summary$sd/sqrt(df.summary$n)
PlotEcho&lt;- ggplot(data=Graph_data, aes(x= factor(Genotype, level = c('WT','Cdh5Mer','TACEff','TACEffCdh5Mer')), y=LVIDs,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ylab('LVID.s_Depth (mm)')+ xlab('Genotype')+
  theme(axis.text.x = element_text(angle = 90))
ggsave(PlotEcho,path = 'Figures',file='19.LVIDs.tiff', width = 7.5, height = 5)
```
#
#LVPW.d_Depth (mm)
```{r}
df.summary = Summarize(LVPWd ~ Model + Genotype, data=Graph_data)
df.summary$se &lt;- df.summary$sd/sqrt(df.summary$n)
PlotEcho&lt;- ggplot(data=Graph_data, aes(x= factor(Genotype, level = c('WT','Cdh5Mer','TACEff','TACEffCdh5Mer')), y=LVPWd,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ylab('LVPW.d_Depth (mm)')+ xlab('Genotype')+
  theme(axis.text.x = element_text(angle = 90))
ggsave(PlotEcho,path = 'Figures',file='20.LVPWd.tiff', width = 7.5, height = 5)
```
#
#LVPW.s_Depth (mm)
```{r}
df.summary = Summarize(LVPWs ~ Model + Genotype, data=Graph_data)
df.summary$se &lt;- df.summary$sd/sqrt(df.summary$n)
PlotEcho&lt;- ggplot(data=Graph_data, aes(x= factor(Genotype, level = c('WT','Cdh5Mer','TACEff','TACEffCdh5Mer')), y=LVPWs, color = Genotype, fill = Genotype)) +
  geom_point(shape = 16,  size = 1.5, stroke = 0.5)+
  expand_limits(y = 0)+ geom_text_repel(aes(label=Mice),hjust=2, vjust=0,size = 2.5)+
  facet_wrap(~factor(Model,levels=c('Sham','MI 3d','MI 1w','MI 2w','MI 4w')),nrow=1)+
  geom_point(aes(x=Genotype,y=mean),data = df.summary,shape = 5,  size = 3, stroke = 0.5, color='Black')+
  geom_errorbar(aes(x=Genotype,y=mean,ymin = mean-se, ymax = mean+se),data = df.summary, width=0.2, color='Black')+
  #stat_compare_means(method = 'anova', label.y.npc = 'top',label.x.npc ='middle',aes(label = ..p.signif..))+
  ylab('LVPW.s_Depth (mm)')+ xlab('Genotype')+
  theme(axis.text.x = element_text(angle = 90))
ggsave(PlotEcho,path = 'Figures',file='21.LVPWs.tiff', width = 7.5, height = 5)
```
#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Processed for raw</vt:lpstr>
      <vt:lpstr>Units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Razoan</dc:creator>
  <cp:lastModifiedBy>Razoan</cp:lastModifiedBy>
  <cp:lastPrinted>2022-10-18T13:49:01Z</cp:lastPrinted>
  <dcterms:created xsi:type="dcterms:W3CDTF">2022-09-14T18:31:53Z</dcterms:created>
  <dcterms:modified xsi:type="dcterms:W3CDTF">2022-10-24T22:41:04Z</dcterms:modified>
</cp:coreProperties>
</file>